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76321/Documents/VS Projects/SIMU/"/>
    </mc:Choice>
  </mc:AlternateContent>
  <xr:revisionPtr revIDLastSave="0" documentId="8_{16225128-FA55-BE44-B18A-9BE02D554530}" xr6:coauthVersionLast="47" xr6:coauthVersionMax="47" xr10:uidLastSave="{00000000-0000-0000-0000-000000000000}"/>
  <bookViews>
    <workbookView xWindow="2180" yWindow="1240" windowWidth="29040" windowHeight="17520" xr2:uid="{00000000-000D-0000-FFFF-FFFF00000000}"/>
  </bookViews>
  <sheets>
    <sheet name="00_ReadMe" sheetId="1" r:id="rId1"/>
    <sheet name="01_Constants" sheetId="2" r:id="rId2"/>
    <sheet name="02_Inputs_Base" sheetId="3" r:id="rId3"/>
    <sheet name="03_Scenarios" sheetId="4" r:id="rId4"/>
    <sheet name="04_HorizonMap" sheetId="5" r:id="rId5"/>
    <sheet name="10_FuelLanding" sheetId="6" r:id="rId6"/>
    <sheet name="11_Plants" sheetId="7" r:id="rId7"/>
    <sheet name="12_PlantSRMC" sheetId="8" r:id="rId8"/>
    <sheet name="13_MeritOrder_WESM" sheetId="9" r:id="rId9"/>
    <sheet name="14_ReservePricing" sheetId="10" r:id="rId10"/>
    <sheet name="15_GenMargin" sheetId="11" r:id="rId11"/>
    <sheet name="20_SupplyWholesale_Contracts" sheetId="12" r:id="rId12"/>
    <sheet name="21_SupplyWholesale_Margin" sheetId="13" r:id="rId13"/>
    <sheet name="22_MarginBridge" sheetId="14" r:id="rId14"/>
    <sheet name="30_Retail_Inputs" sheetId="15" r:id="rId15"/>
    <sheet name="31_Retail_EBIT" sheetId="16" r:id="rId16"/>
    <sheet name="40_Liquidity_Inputs" sheetId="17" r:id="rId17"/>
    <sheet name="41_Liquidity_Model" sheetId="18" r:id="rId18"/>
    <sheet name="50_Triggers_Playbook" sheetId="19" r:id="rId19"/>
    <sheet name="60_Outputs" sheetId="20" r:id="rId20"/>
    <sheet name="99_Checks" sheetId="21" r:id="rId2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21" l="1"/>
  <c r="B37" i="21"/>
  <c r="C9" i="21"/>
  <c r="C8" i="21"/>
  <c r="B8" i="21"/>
  <c r="C6" i="21"/>
  <c r="B6" i="21"/>
  <c r="G56" i="20"/>
  <c r="F56" i="20"/>
  <c r="E56" i="20"/>
  <c r="C56" i="20"/>
  <c r="B56" i="20"/>
  <c r="A56" i="20"/>
  <c r="G55" i="20"/>
  <c r="F55" i="20"/>
  <c r="E55" i="20"/>
  <c r="C55" i="20"/>
  <c r="B55" i="20"/>
  <c r="A55" i="20"/>
  <c r="G54" i="20"/>
  <c r="F54" i="20"/>
  <c r="E54" i="20"/>
  <c r="C54" i="20"/>
  <c r="B54" i="20"/>
  <c r="A54" i="20"/>
  <c r="G53" i="20"/>
  <c r="F53" i="20"/>
  <c r="E53" i="20"/>
  <c r="C53" i="20"/>
  <c r="B53" i="20"/>
  <c r="A53" i="20"/>
  <c r="G52" i="20"/>
  <c r="F52" i="20"/>
  <c r="E52" i="20"/>
  <c r="C52" i="20"/>
  <c r="B52" i="20"/>
  <c r="A52" i="20"/>
  <c r="G51" i="20"/>
  <c r="F51" i="20"/>
  <c r="E51" i="20"/>
  <c r="C51" i="20"/>
  <c r="B51" i="20"/>
  <c r="A51" i="20"/>
  <c r="F15" i="20"/>
  <c r="E15" i="20"/>
  <c r="D15" i="20"/>
  <c r="C15" i="20"/>
  <c r="F14" i="20"/>
  <c r="E14" i="20"/>
  <c r="D14" i="20"/>
  <c r="C14" i="20"/>
  <c r="F13" i="20"/>
  <c r="E13" i="20"/>
  <c r="D13" i="20"/>
  <c r="C13" i="20"/>
  <c r="F12" i="20"/>
  <c r="E12" i="20"/>
  <c r="D12" i="20"/>
  <c r="C12" i="20"/>
  <c r="F11" i="20"/>
  <c r="E11" i="20"/>
  <c r="D11" i="20"/>
  <c r="C11" i="20"/>
  <c r="F10" i="20"/>
  <c r="E10" i="20"/>
  <c r="D10" i="20"/>
  <c r="C10" i="20"/>
  <c r="F9" i="20"/>
  <c r="E9" i="20"/>
  <c r="D9" i="20"/>
  <c r="C9" i="20"/>
  <c r="F8" i="20"/>
  <c r="E8" i="20"/>
  <c r="D8" i="20"/>
  <c r="C8" i="20"/>
  <c r="F7" i="20"/>
  <c r="E7" i="20"/>
  <c r="D7" i="20"/>
  <c r="C7" i="20"/>
  <c r="H11" i="19"/>
  <c r="D56" i="20" s="1"/>
  <c r="H10" i="19"/>
  <c r="D55" i="20" s="1"/>
  <c r="H9" i="19"/>
  <c r="D54" i="20" s="1"/>
  <c r="H8" i="19"/>
  <c r="D53" i="20" s="1"/>
  <c r="H7" i="19"/>
  <c r="D52" i="20" s="1"/>
  <c r="H6" i="19"/>
  <c r="D51" i="20" s="1"/>
  <c r="C42" i="18"/>
  <c r="C46" i="20" s="1"/>
  <c r="F40" i="18"/>
  <c r="E40" i="18"/>
  <c r="D40" i="18"/>
  <c r="C40" i="18"/>
  <c r="F39" i="18"/>
  <c r="E39" i="18"/>
  <c r="D39" i="18"/>
  <c r="C39" i="18"/>
  <c r="F37" i="18"/>
  <c r="E37" i="18"/>
  <c r="D37" i="18"/>
  <c r="C37" i="18"/>
  <c r="F35" i="18"/>
  <c r="E35" i="18"/>
  <c r="D35" i="18"/>
  <c r="C35" i="18"/>
  <c r="F32" i="18"/>
  <c r="F47" i="20" s="1"/>
  <c r="E32" i="18"/>
  <c r="E47" i="20" s="1"/>
  <c r="D32" i="18"/>
  <c r="D47" i="20" s="1"/>
  <c r="C32" i="18"/>
  <c r="C47" i="20" s="1"/>
  <c r="F28" i="18"/>
  <c r="E28" i="18"/>
  <c r="D28" i="18"/>
  <c r="C28" i="18"/>
  <c r="F23" i="18"/>
  <c r="E23" i="18"/>
  <c r="D23" i="18"/>
  <c r="C23" i="18"/>
  <c r="F22" i="18"/>
  <c r="E22" i="18"/>
  <c r="D22" i="18"/>
  <c r="C22" i="18"/>
  <c r="F17" i="18"/>
  <c r="E17" i="18"/>
  <c r="D17" i="18"/>
  <c r="C17" i="18"/>
  <c r="F14" i="18"/>
  <c r="E14" i="18"/>
  <c r="D14" i="18"/>
  <c r="C14" i="18"/>
  <c r="F12" i="18"/>
  <c r="E12" i="18"/>
  <c r="D12" i="18"/>
  <c r="C12" i="18"/>
  <c r="F10" i="18"/>
  <c r="E10" i="18"/>
  <c r="D10" i="18"/>
  <c r="C10" i="18"/>
  <c r="F41" i="16"/>
  <c r="E41" i="16"/>
  <c r="D41" i="16"/>
  <c r="C41" i="16"/>
  <c r="F35" i="16"/>
  <c r="E35" i="16"/>
  <c r="D35" i="16"/>
  <c r="C35" i="16"/>
  <c r="F31" i="16"/>
  <c r="E31" i="16"/>
  <c r="D31" i="16"/>
  <c r="C31" i="16"/>
  <c r="F25" i="16"/>
  <c r="E25" i="16"/>
  <c r="D25" i="16"/>
  <c r="C25" i="16"/>
  <c r="F21" i="16"/>
  <c r="E21" i="16"/>
  <c r="D21" i="16"/>
  <c r="C21" i="16"/>
  <c r="F15" i="16"/>
  <c r="E15" i="16"/>
  <c r="D15" i="16"/>
  <c r="C15" i="16"/>
  <c r="F11" i="13"/>
  <c r="E11" i="13"/>
  <c r="D11" i="13"/>
  <c r="C11" i="13"/>
  <c r="F8" i="10"/>
  <c r="E8" i="10"/>
  <c r="D8" i="10"/>
  <c r="C8" i="10"/>
  <c r="F6" i="10"/>
  <c r="E6" i="10"/>
  <c r="D6" i="10"/>
  <c r="C6" i="10"/>
  <c r="K71" i="9"/>
  <c r="C71" i="9"/>
  <c r="B71" i="9"/>
  <c r="K70" i="9"/>
  <c r="C70" i="9"/>
  <c r="B70" i="9"/>
  <c r="K69" i="9"/>
  <c r="C69" i="9"/>
  <c r="B69" i="9"/>
  <c r="K68" i="9"/>
  <c r="G68" i="9"/>
  <c r="C68" i="9"/>
  <c r="B68" i="9"/>
  <c r="K67" i="9"/>
  <c r="G67" i="9"/>
  <c r="C67" i="9"/>
  <c r="B67" i="9"/>
  <c r="K66" i="9"/>
  <c r="G66" i="9"/>
  <c r="C66" i="9"/>
  <c r="B66" i="9"/>
  <c r="K65" i="9"/>
  <c r="G65" i="9"/>
  <c r="C65" i="9"/>
  <c r="B65" i="9"/>
  <c r="K64" i="9"/>
  <c r="G64" i="9"/>
  <c r="C64" i="9"/>
  <c r="B64" i="9"/>
  <c r="K63" i="9"/>
  <c r="G63" i="9"/>
  <c r="C63" i="9"/>
  <c r="B63" i="9"/>
  <c r="K58" i="9"/>
  <c r="C58" i="9"/>
  <c r="B58" i="9"/>
  <c r="K57" i="9"/>
  <c r="C57" i="9"/>
  <c r="B57" i="9"/>
  <c r="K56" i="9"/>
  <c r="C56" i="9"/>
  <c r="B56" i="9"/>
  <c r="K55" i="9"/>
  <c r="G55" i="9"/>
  <c r="C55" i="9"/>
  <c r="B55" i="9"/>
  <c r="K54" i="9"/>
  <c r="G54" i="9"/>
  <c r="C54" i="9"/>
  <c r="B54" i="9"/>
  <c r="K53" i="9"/>
  <c r="G53" i="9"/>
  <c r="C53" i="9"/>
  <c r="B53" i="9"/>
  <c r="K52" i="9"/>
  <c r="G52" i="9"/>
  <c r="C52" i="9"/>
  <c r="B52" i="9"/>
  <c r="K51" i="9"/>
  <c r="G51" i="9"/>
  <c r="C51" i="9"/>
  <c r="B51" i="9"/>
  <c r="K50" i="9"/>
  <c r="G50" i="9"/>
  <c r="C50" i="9"/>
  <c r="B50" i="9"/>
  <c r="K45" i="9"/>
  <c r="C45" i="9"/>
  <c r="B45" i="9"/>
  <c r="K44" i="9"/>
  <c r="C44" i="9"/>
  <c r="B44" i="9"/>
  <c r="K43" i="9"/>
  <c r="C43" i="9"/>
  <c r="B43" i="9"/>
  <c r="K42" i="9"/>
  <c r="G42" i="9"/>
  <c r="C42" i="9"/>
  <c r="B42" i="9"/>
  <c r="K41" i="9"/>
  <c r="G41" i="9"/>
  <c r="C41" i="9"/>
  <c r="B41" i="9"/>
  <c r="K40" i="9"/>
  <c r="G40" i="9"/>
  <c r="C40" i="9"/>
  <c r="B40" i="9"/>
  <c r="K39" i="9"/>
  <c r="G39" i="9"/>
  <c r="C39" i="9"/>
  <c r="B39" i="9"/>
  <c r="K38" i="9"/>
  <c r="G38" i="9"/>
  <c r="C38" i="9"/>
  <c r="B38" i="9"/>
  <c r="K37" i="9"/>
  <c r="G37" i="9"/>
  <c r="C37" i="9"/>
  <c r="B37" i="9"/>
  <c r="K32" i="9"/>
  <c r="C32" i="9"/>
  <c r="B32" i="9"/>
  <c r="K31" i="9"/>
  <c r="C31" i="9"/>
  <c r="B31" i="9"/>
  <c r="K30" i="9"/>
  <c r="C30" i="9"/>
  <c r="B30" i="9"/>
  <c r="K29" i="9"/>
  <c r="G29" i="9"/>
  <c r="C29" i="9"/>
  <c r="B29" i="9"/>
  <c r="K28" i="9"/>
  <c r="G28" i="9"/>
  <c r="C28" i="9"/>
  <c r="B28" i="9"/>
  <c r="K27" i="9"/>
  <c r="G27" i="9"/>
  <c r="C27" i="9"/>
  <c r="B27" i="9"/>
  <c r="K26" i="9"/>
  <c r="G26" i="9"/>
  <c r="C26" i="9"/>
  <c r="B26" i="9"/>
  <c r="K25" i="9"/>
  <c r="G25" i="9"/>
  <c r="C25" i="9"/>
  <c r="B25" i="9"/>
  <c r="K24" i="9"/>
  <c r="G24" i="9"/>
  <c r="C24" i="9"/>
  <c r="B24" i="9"/>
  <c r="F32" i="8"/>
  <c r="E32" i="8"/>
  <c r="D32" i="8"/>
  <c r="C32" i="8"/>
  <c r="F31" i="8"/>
  <c r="E31" i="8"/>
  <c r="D31" i="8"/>
  <c r="C31" i="8"/>
  <c r="F27" i="8"/>
  <c r="E27" i="8"/>
  <c r="D27" i="8"/>
  <c r="C27" i="8"/>
  <c r="F24" i="8"/>
  <c r="E24" i="8"/>
  <c r="D24" i="8"/>
  <c r="C24" i="8"/>
  <c r="F20" i="8"/>
  <c r="E20" i="8"/>
  <c r="D20" i="8"/>
  <c r="C20" i="8"/>
  <c r="F16" i="8"/>
  <c r="E16" i="8"/>
  <c r="D16" i="8"/>
  <c r="C16" i="8"/>
  <c r="F15" i="8"/>
  <c r="E15" i="8"/>
  <c r="D15" i="8"/>
  <c r="C15" i="8"/>
  <c r="F10" i="8"/>
  <c r="E10" i="8"/>
  <c r="D10" i="8"/>
  <c r="C10" i="8"/>
  <c r="F6" i="8"/>
  <c r="E6" i="8"/>
  <c r="D6" i="8"/>
  <c r="C6" i="8"/>
  <c r="G14" i="7"/>
  <c r="F14" i="7"/>
  <c r="E14" i="7"/>
  <c r="G13" i="7"/>
  <c r="F13" i="7"/>
  <c r="E13" i="7"/>
  <c r="F27" i="6"/>
  <c r="E27" i="6"/>
  <c r="D27" i="6"/>
  <c r="C27" i="6"/>
  <c r="F24" i="6"/>
  <c r="E24" i="6"/>
  <c r="D24" i="6"/>
  <c r="C24" i="6"/>
  <c r="F23" i="6"/>
  <c r="E23" i="6"/>
  <c r="D23" i="6"/>
  <c r="C23" i="6"/>
  <c r="F17" i="6"/>
  <c r="E17" i="6"/>
  <c r="D17" i="6"/>
  <c r="C17" i="6"/>
  <c r="F16" i="6"/>
  <c r="E16" i="6"/>
  <c r="D16" i="6"/>
  <c r="C16" i="6"/>
  <c r="F11" i="6"/>
  <c r="E11" i="6"/>
  <c r="D11" i="6"/>
  <c r="C11" i="6"/>
  <c r="F9" i="6"/>
  <c r="E9" i="6"/>
  <c r="D9" i="6"/>
  <c r="C9" i="6"/>
  <c r="F8" i="6"/>
  <c r="E8" i="6"/>
  <c r="D8" i="6"/>
  <c r="C8" i="6"/>
  <c r="F7" i="6"/>
  <c r="E7" i="6"/>
  <c r="D7" i="6"/>
  <c r="C7" i="6"/>
  <c r="F6" i="6"/>
  <c r="E6" i="6"/>
  <c r="D6" i="6"/>
  <c r="C6" i="6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L31" i="3"/>
  <c r="L30" i="3"/>
  <c r="I15" i="3"/>
  <c r="I14" i="3"/>
  <c r="I13" i="3"/>
  <c r="I12" i="3"/>
  <c r="K4" i="3"/>
  <c r="B12" i="2"/>
  <c r="B11" i="2"/>
  <c r="K5" i="7" s="1"/>
  <c r="F5" i="7" s="1"/>
  <c r="B10" i="2"/>
  <c r="B7" i="2"/>
  <c r="F18" i="6" l="1"/>
  <c r="F21" i="6" s="1"/>
  <c r="F18" i="8" s="1"/>
  <c r="E18" i="6"/>
  <c r="E21" i="6" s="1"/>
  <c r="E18" i="8" s="1"/>
  <c r="E41" i="18"/>
  <c r="D18" i="6"/>
  <c r="D21" i="6" s="1"/>
  <c r="D18" i="8" s="1"/>
  <c r="C17" i="8"/>
  <c r="C18" i="6"/>
  <c r="C21" i="6" s="1"/>
  <c r="C18" i="8" s="1"/>
  <c r="D41" i="18"/>
  <c r="F41" i="18"/>
  <c r="D17" i="8"/>
  <c r="C25" i="6"/>
  <c r="C26" i="6" s="1"/>
  <c r="C28" i="6" s="1"/>
  <c r="C25" i="8" s="1"/>
  <c r="C26" i="8" s="1"/>
  <c r="C28" i="8" s="1"/>
  <c r="E17" i="8"/>
  <c r="C41" i="18"/>
  <c r="D10" i="6"/>
  <c r="D12" i="6" s="1"/>
  <c r="D11" i="8" s="1"/>
  <c r="D25" i="6"/>
  <c r="D26" i="6" s="1"/>
  <c r="D28" i="6" s="1"/>
  <c r="D25" i="8" s="1"/>
  <c r="D26" i="8" s="1"/>
  <c r="D28" i="8" s="1"/>
  <c r="F17" i="8"/>
  <c r="E10" i="6"/>
  <c r="E12" i="6" s="1"/>
  <c r="E11" i="8" s="1"/>
  <c r="E25" i="6"/>
  <c r="E26" i="6" s="1"/>
  <c r="E28" i="6" s="1"/>
  <c r="E25" i="8" s="1"/>
  <c r="E26" i="8" s="1"/>
  <c r="E28" i="8" s="1"/>
  <c r="F25" i="6"/>
  <c r="F26" i="6" s="1"/>
  <c r="F28" i="6" s="1"/>
  <c r="F25" i="8" s="1"/>
  <c r="F26" i="8" s="1"/>
  <c r="F28" i="8" s="1"/>
  <c r="F10" i="6"/>
  <c r="F12" i="6" s="1"/>
  <c r="F11" i="8" s="1"/>
  <c r="F7" i="8"/>
  <c r="E7" i="8"/>
  <c r="D7" i="8"/>
  <c r="C7" i="8"/>
  <c r="F13" i="6"/>
  <c r="E13" i="6"/>
  <c r="D13" i="6"/>
  <c r="C13" i="6"/>
  <c r="L24" i="3"/>
  <c r="K12" i="3"/>
  <c r="L25" i="3"/>
  <c r="K13" i="3"/>
  <c r="L32" i="3"/>
  <c r="L33" i="3" s="1"/>
  <c r="F67" i="9" s="1"/>
  <c r="K14" i="3"/>
  <c r="K20" i="3"/>
  <c r="L20" i="3" s="1"/>
  <c r="K19" i="3"/>
  <c r="L19" i="3" s="1"/>
  <c r="K18" i="3"/>
  <c r="L18" i="3" s="1"/>
  <c r="K15" i="3"/>
  <c r="C10" i="6"/>
  <c r="C6" i="18"/>
  <c r="C5" i="11"/>
  <c r="D6" i="18"/>
  <c r="D5" i="11"/>
  <c r="E6" i="18"/>
  <c r="E5" i="11"/>
  <c r="F6" i="18"/>
  <c r="F5" i="11"/>
  <c r="C6" i="11"/>
  <c r="C33" i="8"/>
  <c r="D6" i="11"/>
  <c r="D33" i="8"/>
  <c r="E6" i="11"/>
  <c r="E33" i="8"/>
  <c r="F6" i="11"/>
  <c r="F33" i="8"/>
  <c r="F24" i="9"/>
  <c r="J24" i="9" s="1"/>
  <c r="E24" i="9"/>
  <c r="I24" i="9" s="1"/>
  <c r="D24" i="9"/>
  <c r="H24" i="9" s="1"/>
  <c r="F25" i="9"/>
  <c r="E25" i="9"/>
  <c r="D25" i="9"/>
  <c r="F26" i="9"/>
  <c r="E26" i="9"/>
  <c r="D26" i="9"/>
  <c r="F27" i="9"/>
  <c r="E27" i="9"/>
  <c r="D27" i="9"/>
  <c r="F29" i="9"/>
  <c r="E29" i="9"/>
  <c r="D29" i="9"/>
  <c r="F30" i="9"/>
  <c r="E30" i="9"/>
  <c r="D30" i="9"/>
  <c r="F31" i="9"/>
  <c r="E31" i="9"/>
  <c r="D31" i="9"/>
  <c r="F32" i="9"/>
  <c r="E32" i="9"/>
  <c r="D32" i="9"/>
  <c r="F37" i="9"/>
  <c r="J37" i="9" s="1"/>
  <c r="E37" i="9"/>
  <c r="I37" i="9" s="1"/>
  <c r="D37" i="9"/>
  <c r="H37" i="9" s="1"/>
  <c r="F38" i="9"/>
  <c r="E38" i="9"/>
  <c r="D38" i="9"/>
  <c r="F39" i="9"/>
  <c r="E39" i="9"/>
  <c r="D39" i="9"/>
  <c r="F40" i="9"/>
  <c r="E40" i="9"/>
  <c r="D40" i="9"/>
  <c r="F42" i="9"/>
  <c r="E42" i="9"/>
  <c r="D42" i="9"/>
  <c r="F43" i="9"/>
  <c r="E43" i="9"/>
  <c r="D43" i="9"/>
  <c r="F44" i="9"/>
  <c r="E44" i="9"/>
  <c r="D44" i="9"/>
  <c r="F45" i="9"/>
  <c r="E45" i="9"/>
  <c r="D45" i="9"/>
  <c r="F50" i="9"/>
  <c r="J50" i="9" s="1"/>
  <c r="E50" i="9"/>
  <c r="I50" i="9" s="1"/>
  <c r="D50" i="9"/>
  <c r="H50" i="9" s="1"/>
  <c r="F51" i="9"/>
  <c r="E51" i="9"/>
  <c r="D51" i="9"/>
  <c r="F52" i="9"/>
  <c r="E52" i="9"/>
  <c r="D52" i="9"/>
  <c r="F53" i="9"/>
  <c r="E53" i="9"/>
  <c r="D53" i="9"/>
  <c r="F55" i="9"/>
  <c r="E55" i="9"/>
  <c r="D55" i="9"/>
  <c r="F56" i="9"/>
  <c r="E56" i="9"/>
  <c r="D56" i="9"/>
  <c r="F57" i="9"/>
  <c r="E57" i="9"/>
  <c r="D57" i="9"/>
  <c r="F58" i="9"/>
  <c r="E58" i="9"/>
  <c r="D58" i="9"/>
  <c r="F63" i="9"/>
  <c r="J63" i="9" s="1"/>
  <c r="E63" i="9"/>
  <c r="I63" i="9" s="1"/>
  <c r="D63" i="9"/>
  <c r="H63" i="9" s="1"/>
  <c r="F64" i="9"/>
  <c r="E64" i="9"/>
  <c r="D64" i="9"/>
  <c r="F65" i="9"/>
  <c r="E65" i="9"/>
  <c r="D65" i="9"/>
  <c r="F66" i="9"/>
  <c r="E66" i="9"/>
  <c r="D66" i="9"/>
  <c r="F68" i="9"/>
  <c r="E68" i="9"/>
  <c r="D68" i="9"/>
  <c r="F69" i="9"/>
  <c r="E69" i="9"/>
  <c r="D69" i="9"/>
  <c r="F70" i="9"/>
  <c r="E70" i="9"/>
  <c r="D70" i="9"/>
  <c r="F71" i="9"/>
  <c r="E71" i="9"/>
  <c r="D71" i="9"/>
  <c r="E19" i="8" l="1"/>
  <c r="E21" i="8" s="1"/>
  <c r="E48" i="8" s="1"/>
  <c r="G57" i="9" s="1"/>
  <c r="C19" i="8"/>
  <c r="C21" i="8" s="1"/>
  <c r="C21" i="20" s="1"/>
  <c r="D19" i="8"/>
  <c r="D21" i="8" s="1"/>
  <c r="F19" i="8"/>
  <c r="F21" i="8" s="1"/>
  <c r="D28" i="9"/>
  <c r="D14" i="6"/>
  <c r="D8" i="8" s="1"/>
  <c r="D9" i="8" s="1"/>
  <c r="D12" i="8" s="1"/>
  <c r="D47" i="8" s="1"/>
  <c r="G43" i="9" s="1"/>
  <c r="D41" i="9"/>
  <c r="E28" i="9"/>
  <c r="D54" i="9"/>
  <c r="E41" i="9"/>
  <c r="F28" i="9"/>
  <c r="F14" i="6"/>
  <c r="F8" i="8" s="1"/>
  <c r="F9" i="8" s="1"/>
  <c r="F12" i="8" s="1"/>
  <c r="F20" i="20" s="1"/>
  <c r="D67" i="9"/>
  <c r="E54" i="9"/>
  <c r="F41" i="9"/>
  <c r="E67" i="9"/>
  <c r="F54" i="9"/>
  <c r="E14" i="6"/>
  <c r="E8" i="8" s="1"/>
  <c r="E9" i="8" s="1"/>
  <c r="E12" i="8" s="1"/>
  <c r="E20" i="20" s="1"/>
  <c r="H64" i="9"/>
  <c r="H65" i="9" s="1"/>
  <c r="H66" i="9" s="1"/>
  <c r="I64" i="9"/>
  <c r="I65" i="9" s="1"/>
  <c r="I66" i="9" s="1"/>
  <c r="J64" i="9"/>
  <c r="J65" i="9" s="1"/>
  <c r="J66" i="9" s="1"/>
  <c r="J67" i="9" s="1"/>
  <c r="J68" i="9" s="1"/>
  <c r="J69" i="9" s="1"/>
  <c r="J70" i="9" s="1"/>
  <c r="J71" i="9" s="1"/>
  <c r="H51" i="9"/>
  <c r="H52" i="9" s="1"/>
  <c r="H53" i="9" s="1"/>
  <c r="I51" i="9"/>
  <c r="I52" i="9" s="1"/>
  <c r="I53" i="9" s="1"/>
  <c r="J51" i="9"/>
  <c r="J52" i="9" s="1"/>
  <c r="J53" i="9" s="1"/>
  <c r="H38" i="9"/>
  <c r="H39" i="9" s="1"/>
  <c r="H40" i="9" s="1"/>
  <c r="I38" i="9"/>
  <c r="I39" i="9" s="1"/>
  <c r="I40" i="9" s="1"/>
  <c r="J38" i="9"/>
  <c r="J39" i="9" s="1"/>
  <c r="J40" i="9" s="1"/>
  <c r="H25" i="9"/>
  <c r="H26" i="9" s="1"/>
  <c r="H27" i="9" s="1"/>
  <c r="I25" i="9"/>
  <c r="I26" i="9" s="1"/>
  <c r="I27" i="9" s="1"/>
  <c r="J25" i="9"/>
  <c r="J26" i="9" s="1"/>
  <c r="J27" i="9" s="1"/>
  <c r="F8" i="18"/>
  <c r="F15" i="18" s="1"/>
  <c r="F7" i="11"/>
  <c r="F34" i="8"/>
  <c r="E8" i="18"/>
  <c r="E15" i="18" s="1"/>
  <c r="E7" i="11"/>
  <c r="E34" i="8"/>
  <c r="D8" i="18"/>
  <c r="D15" i="18" s="1"/>
  <c r="D7" i="11"/>
  <c r="D34" i="8"/>
  <c r="C8" i="18"/>
  <c r="C15" i="18" s="1"/>
  <c r="C7" i="11"/>
  <c r="C34" i="8"/>
  <c r="F11" i="18"/>
  <c r="E11" i="18"/>
  <c r="D11" i="18"/>
  <c r="C11" i="18"/>
  <c r="F22" i="20"/>
  <c r="F11" i="11"/>
  <c r="F49" i="8"/>
  <c r="G71" i="9" s="1"/>
  <c r="E22" i="20"/>
  <c r="E11" i="11"/>
  <c r="E49" i="8"/>
  <c r="G58" i="9" s="1"/>
  <c r="D22" i="20"/>
  <c r="D11" i="11"/>
  <c r="D49" i="8"/>
  <c r="G45" i="9" s="1"/>
  <c r="C22" i="20"/>
  <c r="C11" i="11"/>
  <c r="C49" i="8"/>
  <c r="G32" i="9" s="1"/>
  <c r="C12" i="6"/>
  <c r="F6" i="9"/>
  <c r="E6" i="9"/>
  <c r="D6" i="9"/>
  <c r="C6" i="9"/>
  <c r="F7" i="9"/>
  <c r="E7" i="9"/>
  <c r="D7" i="9"/>
  <c r="C7" i="9"/>
  <c r="F8" i="9"/>
  <c r="E8" i="9"/>
  <c r="D8" i="9"/>
  <c r="C8" i="9"/>
  <c r="C38" i="21"/>
  <c r="B38" i="21"/>
  <c r="C35" i="21"/>
  <c r="B35" i="21"/>
  <c r="C34" i="21"/>
  <c r="B34" i="21"/>
  <c r="C32" i="21"/>
  <c r="B32" i="21"/>
  <c r="C7" i="18" l="1"/>
  <c r="C13" i="18" s="1"/>
  <c r="C16" i="18" s="1"/>
  <c r="C41" i="20" s="1"/>
  <c r="E7" i="18"/>
  <c r="E13" i="18" s="1"/>
  <c r="E16" i="18" s="1"/>
  <c r="E41" i="20" s="1"/>
  <c r="D7" i="18"/>
  <c r="D13" i="18" s="1"/>
  <c r="D16" i="18" s="1"/>
  <c r="D41" i="20" s="1"/>
  <c r="D9" i="11"/>
  <c r="D20" i="20"/>
  <c r="H54" i="9"/>
  <c r="H55" i="9" s="1"/>
  <c r="H56" i="9" s="1"/>
  <c r="H57" i="9" s="1"/>
  <c r="H58" i="9" s="1"/>
  <c r="O6" i="9" s="1"/>
  <c r="H28" i="9"/>
  <c r="H29" i="9" s="1"/>
  <c r="H30" i="9" s="1"/>
  <c r="H31" i="9" s="1"/>
  <c r="H32" i="9" s="1"/>
  <c r="M6" i="9" s="1"/>
  <c r="D48" i="8"/>
  <c r="G44" i="9" s="1"/>
  <c r="D10" i="11"/>
  <c r="D21" i="20"/>
  <c r="D19" i="9"/>
  <c r="F7" i="18"/>
  <c r="F13" i="18" s="1"/>
  <c r="F16" i="18" s="1"/>
  <c r="F41" i="20" s="1"/>
  <c r="F10" i="11"/>
  <c r="F48" i="8"/>
  <c r="G70" i="9" s="1"/>
  <c r="F21" i="20"/>
  <c r="I28" i="9"/>
  <c r="I29" i="9" s="1"/>
  <c r="I30" i="9" s="1"/>
  <c r="I31" i="9" s="1"/>
  <c r="I32" i="9" s="1"/>
  <c r="M7" i="9" s="1"/>
  <c r="E9" i="11"/>
  <c r="C48" i="8"/>
  <c r="G31" i="9" s="1"/>
  <c r="C10" i="11"/>
  <c r="J54" i="9"/>
  <c r="J55" i="9" s="1"/>
  <c r="J56" i="9" s="1"/>
  <c r="J57" i="9" s="1"/>
  <c r="J58" i="9" s="1"/>
  <c r="E18" i="9" s="1"/>
  <c r="J28" i="9"/>
  <c r="J29" i="9" s="1"/>
  <c r="J30" i="9" s="1"/>
  <c r="J31" i="9" s="1"/>
  <c r="J32" i="9" s="1"/>
  <c r="M8" i="9" s="1"/>
  <c r="F35" i="8"/>
  <c r="F6" i="13" s="1"/>
  <c r="F47" i="8"/>
  <c r="G69" i="9" s="1"/>
  <c r="I54" i="9"/>
  <c r="I55" i="9" s="1"/>
  <c r="I56" i="9" s="1"/>
  <c r="I57" i="9" s="1"/>
  <c r="I58" i="9" s="1"/>
  <c r="O7" i="9" s="1"/>
  <c r="I67" i="9"/>
  <c r="I68" i="9" s="1"/>
  <c r="I69" i="9" s="1"/>
  <c r="I70" i="9" s="1"/>
  <c r="I71" i="9" s="1"/>
  <c r="P7" i="9" s="1"/>
  <c r="H67" i="9"/>
  <c r="H68" i="9" s="1"/>
  <c r="H69" i="9" s="1"/>
  <c r="H70" i="9" s="1"/>
  <c r="H71" i="9" s="1"/>
  <c r="P6" i="9" s="1"/>
  <c r="E21" i="20"/>
  <c r="E19" i="9"/>
  <c r="F19" i="9"/>
  <c r="F9" i="11"/>
  <c r="J41" i="9"/>
  <c r="J42" i="9" s="1"/>
  <c r="J43" i="9" s="1"/>
  <c r="J44" i="9" s="1"/>
  <c r="J45" i="9" s="1"/>
  <c r="D18" i="9" s="1"/>
  <c r="I41" i="9"/>
  <c r="I42" i="9" s="1"/>
  <c r="I43" i="9" s="1"/>
  <c r="I44" i="9" s="1"/>
  <c r="I45" i="9" s="1"/>
  <c r="N7" i="9" s="1"/>
  <c r="E10" i="11"/>
  <c r="D35" i="8"/>
  <c r="D6" i="13" s="1"/>
  <c r="H41" i="9"/>
  <c r="H42" i="9" s="1"/>
  <c r="H43" i="9" s="1"/>
  <c r="H44" i="9" s="1"/>
  <c r="H45" i="9" s="1"/>
  <c r="N6" i="9" s="1"/>
  <c r="E35" i="8"/>
  <c r="E6" i="13" s="1"/>
  <c r="E47" i="8"/>
  <c r="G56" i="9" s="1"/>
  <c r="C11" i="8"/>
  <c r="C14" i="6"/>
  <c r="F18" i="9"/>
  <c r="F17" i="9"/>
  <c r="F11" i="10" s="1"/>
  <c r="F12" i="10" s="1"/>
  <c r="P8" i="9"/>
  <c r="C9" i="18" l="1"/>
  <c r="C31" i="18" s="1"/>
  <c r="C34" i="18" s="1"/>
  <c r="E9" i="18"/>
  <c r="D9" i="18"/>
  <c r="C18" i="9"/>
  <c r="N8" i="9"/>
  <c r="D14" i="9" s="1"/>
  <c r="F9" i="18"/>
  <c r="C17" i="9"/>
  <c r="C11" i="10" s="1"/>
  <c r="C12" i="10" s="1"/>
  <c r="O8" i="9"/>
  <c r="E14" i="9" s="1"/>
  <c r="E17" i="9"/>
  <c r="E11" i="10" s="1"/>
  <c r="E12" i="10" s="1"/>
  <c r="D17" i="9"/>
  <c r="D11" i="10" s="1"/>
  <c r="D12" i="10" s="1"/>
  <c r="F12" i="9"/>
  <c r="F9" i="9"/>
  <c r="F13" i="9"/>
  <c r="F10" i="9"/>
  <c r="F14" i="9"/>
  <c r="F11" i="9"/>
  <c r="E12" i="9"/>
  <c r="E9" i="9"/>
  <c r="E13" i="9"/>
  <c r="E10" i="9"/>
  <c r="D12" i="9"/>
  <c r="D9" i="9"/>
  <c r="D13" i="9"/>
  <c r="D10" i="9"/>
  <c r="C9" i="9"/>
  <c r="C13" i="9"/>
  <c r="C10" i="9"/>
  <c r="C14" i="9"/>
  <c r="C11" i="9"/>
  <c r="C8" i="8"/>
  <c r="C9" i="8" s="1"/>
  <c r="C12" i="8" s="1"/>
  <c r="C43" i="21"/>
  <c r="F31" i="18" l="1"/>
  <c r="F34" i="18" s="1"/>
  <c r="F42" i="18" s="1"/>
  <c r="F46" i="20" s="1"/>
  <c r="C33" i="18"/>
  <c r="C38" i="18" s="1"/>
  <c r="C36" i="18"/>
  <c r="C43" i="18" s="1"/>
  <c r="C48" i="20" s="1"/>
  <c r="D31" i="18"/>
  <c r="D34" i="18" s="1"/>
  <c r="D42" i="18" s="1"/>
  <c r="D46" i="20" s="1"/>
  <c r="C18" i="18"/>
  <c r="C42" i="20" s="1"/>
  <c r="E31" i="18"/>
  <c r="E34" i="18" s="1"/>
  <c r="E42" i="18" s="1"/>
  <c r="E46" i="20" s="1"/>
  <c r="D18" i="18"/>
  <c r="D42" i="20" s="1"/>
  <c r="E18" i="18"/>
  <c r="E42" i="20" s="1"/>
  <c r="D11" i="9"/>
  <c r="E11" i="9"/>
  <c r="F18" i="18"/>
  <c r="F42" i="20" s="1"/>
  <c r="D43" i="21"/>
  <c r="C7" i="21"/>
  <c r="B7" i="21"/>
  <c r="C20" i="20"/>
  <c r="C9" i="11"/>
  <c r="C19" i="9"/>
  <c r="B9" i="21" s="1"/>
  <c r="C47" i="8"/>
  <c r="G30" i="9" s="1"/>
  <c r="C12" i="9" s="1"/>
  <c r="C15" i="9" s="1"/>
  <c r="C16" i="9" s="1"/>
  <c r="C35" i="8"/>
  <c r="C6" i="13" s="1"/>
  <c r="D15" i="9"/>
  <c r="E15" i="9"/>
  <c r="E16" i="9" s="1"/>
  <c r="C33" i="21"/>
  <c r="B33" i="21"/>
  <c r="F15" i="9"/>
  <c r="F16" i="9" s="1"/>
  <c r="F36" i="18" l="1"/>
  <c r="F43" i="18" s="1"/>
  <c r="F48" i="20" s="1"/>
  <c r="B31" i="21" s="1"/>
  <c r="F33" i="18"/>
  <c r="F38" i="18" s="1"/>
  <c r="E36" i="18"/>
  <c r="E43" i="18" s="1"/>
  <c r="E48" i="20" s="1"/>
  <c r="E33" i="18"/>
  <c r="E38" i="18" s="1"/>
  <c r="D36" i="18"/>
  <c r="D43" i="18" s="1"/>
  <c r="D48" i="20" s="1"/>
  <c r="C31" i="21"/>
  <c r="D33" i="18"/>
  <c r="D38" i="18" s="1"/>
  <c r="F23" i="20"/>
  <c r="F36" i="16"/>
  <c r="F26" i="16"/>
  <c r="F16" i="16"/>
  <c r="F5" i="13"/>
  <c r="F13" i="11"/>
  <c r="F5" i="10"/>
  <c r="F7" i="10" s="1"/>
  <c r="E23" i="20"/>
  <c r="E36" i="16"/>
  <c r="E26" i="16"/>
  <c r="E16" i="16"/>
  <c r="E5" i="13"/>
  <c r="E13" i="11"/>
  <c r="E5" i="10"/>
  <c r="E7" i="10" s="1"/>
  <c r="D16" i="9"/>
  <c r="C44" i="21" s="1"/>
  <c r="B8" i="14"/>
  <c r="C8" i="14"/>
  <c r="D8" i="14"/>
  <c r="C23" i="20"/>
  <c r="C36" i="16"/>
  <c r="C26" i="16"/>
  <c r="C16" i="16"/>
  <c r="C5" i="13"/>
  <c r="C13" i="11"/>
  <c r="C5" i="10"/>
  <c r="C7" i="10" s="1"/>
  <c r="C24" i="20" l="1"/>
  <c r="C9" i="10"/>
  <c r="C14" i="11" s="1"/>
  <c r="C18" i="11"/>
  <c r="C17" i="11"/>
  <c r="C16" i="11"/>
  <c r="C10" i="13"/>
  <c r="C9" i="13"/>
  <c r="C8" i="13"/>
  <c r="C32" i="20" s="1"/>
  <c r="C7" i="13"/>
  <c r="C17" i="16"/>
  <c r="C18" i="16" s="1"/>
  <c r="C19" i="16"/>
  <c r="C27" i="16"/>
  <c r="C28" i="16" s="1"/>
  <c r="C29" i="16"/>
  <c r="C37" i="16"/>
  <c r="C38" i="16" s="1"/>
  <c r="C39" i="16"/>
  <c r="C36" i="21"/>
  <c r="B36" i="21"/>
  <c r="D44" i="21"/>
  <c r="D23" i="20"/>
  <c r="D36" i="16"/>
  <c r="D26" i="16"/>
  <c r="D16" i="16"/>
  <c r="D5" i="13"/>
  <c r="D13" i="11"/>
  <c r="D5" i="10"/>
  <c r="D7" i="10" s="1"/>
  <c r="E24" i="20"/>
  <c r="E9" i="10"/>
  <c r="E14" i="11" s="1"/>
  <c r="E18" i="11"/>
  <c r="E17" i="11"/>
  <c r="E16" i="11"/>
  <c r="C9" i="14"/>
  <c r="C7" i="14"/>
  <c r="C6" i="14"/>
  <c r="E10" i="13"/>
  <c r="C10" i="14" s="1"/>
  <c r="E9" i="13"/>
  <c r="E8" i="13"/>
  <c r="E32" i="20" s="1"/>
  <c r="E7" i="13"/>
  <c r="E17" i="16"/>
  <c r="E18" i="16" s="1"/>
  <c r="E19" i="16"/>
  <c r="E27" i="16"/>
  <c r="E28" i="16" s="1"/>
  <c r="E29" i="16"/>
  <c r="E37" i="16"/>
  <c r="E38" i="16" s="1"/>
  <c r="E39" i="16"/>
  <c r="F24" i="20"/>
  <c r="F9" i="10"/>
  <c r="F14" i="11" s="1"/>
  <c r="F18" i="11"/>
  <c r="F17" i="11"/>
  <c r="F16" i="11"/>
  <c r="D9" i="14"/>
  <c r="D7" i="14"/>
  <c r="D6" i="14"/>
  <c r="F10" i="13"/>
  <c r="D10" i="14" s="1"/>
  <c r="F9" i="13"/>
  <c r="F8" i="13"/>
  <c r="F32" i="20" s="1"/>
  <c r="F7" i="13"/>
  <c r="F17" i="16"/>
  <c r="F18" i="16" s="1"/>
  <c r="F19" i="16"/>
  <c r="F27" i="16"/>
  <c r="F28" i="16" s="1"/>
  <c r="F29" i="16"/>
  <c r="F37" i="16"/>
  <c r="F38" i="16" s="1"/>
  <c r="F39" i="16"/>
  <c r="F19" i="11" l="1"/>
  <c r="F20" i="11" s="1"/>
  <c r="F25" i="20" s="1"/>
  <c r="C19" i="11"/>
  <c r="C20" i="11" s="1"/>
  <c r="C25" i="20" s="1"/>
  <c r="E19" i="11"/>
  <c r="E20" i="11" s="1"/>
  <c r="E25" i="20" s="1"/>
  <c r="F40" i="16"/>
  <c r="F42" i="16" s="1"/>
  <c r="F8" i="16" s="1"/>
  <c r="F30" i="16"/>
  <c r="F32" i="16" s="1"/>
  <c r="F7" i="16" s="1"/>
  <c r="F20" i="16"/>
  <c r="F22" i="16" s="1"/>
  <c r="F6" i="16" s="1"/>
  <c r="F31" i="20"/>
  <c r="F12" i="13"/>
  <c r="E40" i="16"/>
  <c r="E42" i="16" s="1"/>
  <c r="E8" i="16" s="1"/>
  <c r="E30" i="16"/>
  <c r="E32" i="16" s="1"/>
  <c r="E7" i="16" s="1"/>
  <c r="E20" i="16"/>
  <c r="E22" i="16" s="1"/>
  <c r="E6" i="16" s="1"/>
  <c r="E31" i="20"/>
  <c r="E12" i="13"/>
  <c r="D24" i="20"/>
  <c r="D9" i="10"/>
  <c r="D14" i="11" s="1"/>
  <c r="D18" i="11"/>
  <c r="D17" i="11"/>
  <c r="D16" i="11"/>
  <c r="B9" i="14"/>
  <c r="B7" i="14"/>
  <c r="B6" i="14"/>
  <c r="D10" i="13"/>
  <c r="B10" i="14" s="1"/>
  <c r="D9" i="13"/>
  <c r="D8" i="13"/>
  <c r="D32" i="20" s="1"/>
  <c r="D7" i="13"/>
  <c r="D17" i="16"/>
  <c r="D18" i="16" s="1"/>
  <c r="D19" i="16"/>
  <c r="D27" i="16"/>
  <c r="D28" i="16" s="1"/>
  <c r="D29" i="16"/>
  <c r="D37" i="16"/>
  <c r="D38" i="16" s="1"/>
  <c r="D39" i="16"/>
  <c r="C15" i="21"/>
  <c r="B15" i="21"/>
  <c r="C40" i="16"/>
  <c r="C42" i="16" s="1"/>
  <c r="C8" i="16" s="1"/>
  <c r="C30" i="16"/>
  <c r="C32" i="16" s="1"/>
  <c r="C7" i="16" s="1"/>
  <c r="C20" i="16"/>
  <c r="C22" i="16" s="1"/>
  <c r="C6" i="16" s="1"/>
  <c r="C31" i="20"/>
  <c r="C12" i="13"/>
  <c r="D19" i="11" l="1"/>
  <c r="D20" i="11" s="1"/>
  <c r="D25" i="20" s="1"/>
  <c r="C35" i="20"/>
  <c r="D5" i="14"/>
  <c r="D11" i="14" s="1"/>
  <c r="C5" i="14"/>
  <c r="C11" i="14" s="1"/>
  <c r="B5" i="14"/>
  <c r="B11" i="14" s="1"/>
  <c r="C33" i="20"/>
  <c r="F10" i="16"/>
  <c r="E10" i="16"/>
  <c r="C10" i="16"/>
  <c r="C9" i="16"/>
  <c r="D40" i="16"/>
  <c r="D42" i="16" s="1"/>
  <c r="D8" i="16" s="1"/>
  <c r="D30" i="16"/>
  <c r="D32" i="16" s="1"/>
  <c r="D7" i="16" s="1"/>
  <c r="D20" i="16"/>
  <c r="D22" i="16" s="1"/>
  <c r="D6" i="16" s="1"/>
  <c r="D31" i="20"/>
  <c r="D12" i="13"/>
  <c r="E35" i="20"/>
  <c r="C12" i="14"/>
  <c r="E33" i="20"/>
  <c r="E9" i="16"/>
  <c r="F35" i="20"/>
  <c r="D12" i="14"/>
  <c r="F33" i="20"/>
  <c r="F9" i="16"/>
  <c r="D13" i="14" l="1"/>
  <c r="C12" i="21" s="1"/>
  <c r="C13" i="14"/>
  <c r="C11" i="21" s="1"/>
  <c r="F34" i="20"/>
  <c r="F19" i="18"/>
  <c r="E34" i="20"/>
  <c r="E19" i="18"/>
  <c r="D35" i="20"/>
  <c r="B12" i="14"/>
  <c r="B13" i="14" s="1"/>
  <c r="D33" i="20"/>
  <c r="D9" i="16"/>
  <c r="D10" i="16"/>
  <c r="C13" i="21"/>
  <c r="B13" i="21"/>
  <c r="C34" i="20"/>
  <c r="C19" i="18"/>
  <c r="B11" i="21" l="1"/>
  <c r="C14" i="14"/>
  <c r="D14" i="14"/>
  <c r="B12" i="21"/>
  <c r="C25" i="18"/>
  <c r="C26" i="18" s="1"/>
  <c r="C27" i="18" s="1"/>
  <c r="C44" i="20" s="1"/>
  <c r="F20" i="18"/>
  <c r="E20" i="18"/>
  <c r="C20" i="18"/>
  <c r="D34" i="20"/>
  <c r="D19" i="18"/>
  <c r="C10" i="21"/>
  <c r="B10" i="21"/>
  <c r="B14" i="14"/>
  <c r="E25" i="18"/>
  <c r="E26" i="18" s="1"/>
  <c r="E27" i="18" s="1"/>
  <c r="E44" i="20" s="1"/>
  <c r="F25" i="18"/>
  <c r="F26" i="18" s="1"/>
  <c r="F27" i="18" s="1"/>
  <c r="F44" i="20" s="1"/>
  <c r="D25" i="18" l="1"/>
  <c r="D26" i="18" s="1"/>
  <c r="D27" i="18" s="1"/>
  <c r="D44" i="20" s="1"/>
  <c r="D20" i="18"/>
  <c r="C24" i="18"/>
  <c r="E24" i="18"/>
  <c r="F24" i="18"/>
  <c r="F43" i="20" l="1"/>
  <c r="F29" i="18"/>
  <c r="F30" i="18"/>
  <c r="F45" i="20" s="1"/>
  <c r="E43" i="20"/>
  <c r="E29" i="18"/>
  <c r="E30" i="18"/>
  <c r="E45" i="20" s="1"/>
  <c r="C14" i="21"/>
  <c r="B14" i="21"/>
  <c r="C43" i="20"/>
  <c r="C29" i="18"/>
  <c r="C30" i="18"/>
  <c r="C45" i="20" s="1"/>
  <c r="D24" i="18"/>
  <c r="D43" i="20" l="1"/>
  <c r="D29" i="18"/>
  <c r="D30" i="18"/>
  <c r="D45" i="20" s="1"/>
  <c r="C45" i="21" l="1"/>
  <c r="D45" i="21" s="1"/>
  <c r="B16" i="21" l="1"/>
  <c r="C46" i="21"/>
  <c r="C39" i="21"/>
  <c r="C16" i="21"/>
  <c r="D46" i="21"/>
  <c r="B39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100-000001000000}">
      <text>
        <r>
          <rPr>
            <sz val="10"/>
            <rFont val="Arial"/>
            <family val="2"/>
          </rPr>
          <t>Energy conversion. Source: https://www.eia.gov/energyexplained/units-and-calculators/</t>
        </r>
      </text>
    </comment>
    <comment ref="A5" authorId="0" shapeId="0" xr:uid="{00000000-0006-0000-0100-000002000000}">
      <text>
        <r>
          <rPr>
            <sz val="10"/>
            <rFont val="Arial"/>
            <family val="2"/>
          </rPr>
          <t>Energy conversion. Source: https://www.eia.gov/energyexplained/units-and-calculators/</t>
        </r>
      </text>
    </comment>
    <comment ref="A6" authorId="0" shapeId="0" xr:uid="{00000000-0006-0000-0100-000003000000}">
      <text>
        <r>
          <rPr>
            <sz val="10"/>
            <rFont val="Arial"/>
            <family val="2"/>
          </rPr>
          <t>Illustrative crude-to-energy conversion. Source: https://www.eia.gov/energyexplained/units-and-calculators/</t>
        </r>
      </text>
    </comment>
    <comment ref="A7" authorId="0" shapeId="0" xr:uid="{00000000-0006-0000-0100-000004000000}">
      <text>
        <r>
          <rPr>
            <sz val="10"/>
            <rFont val="Arial"/>
            <family val="2"/>
          </rPr>
          <t>Uses MMBtu_per_bbl_crude_equiv × MMBtu_to_GJ</t>
        </r>
      </text>
    </comment>
    <comment ref="A8" authorId="0" shapeId="0" xr:uid="{00000000-0006-0000-0100-000005000000}">
      <text>
        <r>
          <rPr>
            <sz val="10"/>
            <rFont val="Arial"/>
            <family val="2"/>
          </rPr>
          <t>Electricity conversion</t>
        </r>
      </text>
    </comment>
    <comment ref="A9" authorId="0" shapeId="0" xr:uid="{00000000-0006-0000-0100-000006000000}">
      <text>
        <r>
          <rPr>
            <sz val="10"/>
            <rFont val="Arial"/>
            <family val="2"/>
          </rPr>
          <t>Scaling factor for PHP mn outputs</t>
        </r>
      </text>
    </comment>
    <comment ref="B9" authorId="0" shapeId="0" xr:uid="{00000000-0006-0000-0100-000007000000}">
      <text>
        <r>
          <rPr>
            <sz val="10"/>
            <rFont val="Arial"/>
            <family val="2"/>
          </rPr>
          <t>Placeholder – replace with Meralco/MGEN data. Client benchmark provided in chat: typical Philippine coal benchmark GAR 5000–5500, required for HELE efficiency and emission compliance in newer units. Conversion basis used in model: GJ/t = kcal/kg × 0.0041868. Replace with Meralco contracted coal specs / test reports.</t>
        </r>
      </text>
    </comment>
    <comment ref="B10" authorId="0" shapeId="0" xr:uid="{00000000-0006-0000-0100-000008000000}">
      <text>
        <r>
          <rPr>
            <sz val="10"/>
            <rFont val="Arial"/>
            <family val="2"/>
          </rPr>
          <t>Placeholder – replace with Meralco/MGEN data. Client benchmark provided in chat: typical Philippine coal benchmark GAR 5000–5500, required for HELE efficiency and emission compliance in newer units. Conversion basis used in model: GJ/t = kcal/kg × 0.0041868. Replace with Meralco contracted coal specs / test reports.</t>
        </r>
      </text>
    </comment>
    <comment ref="B11" authorId="0" shapeId="0" xr:uid="{00000000-0006-0000-0100-000009000000}">
      <text>
        <r>
          <rPr>
            <sz val="10"/>
            <rFont val="Arial"/>
            <family val="2"/>
          </rPr>
          <t>Placeholder – replace with Meralco/MGEN data. Client benchmark provided in chat: typical Philippine coal benchmark GAR 5000–5500, required for HELE efficiency and emission compliance in newer units. Conversion basis used in model: GJ/t = kcal/kg × 0.0041868. Replace with Meralco contracted coal specs / test reports.</t>
        </r>
      </text>
    </comment>
    <comment ref="B12" authorId="0" shapeId="0" xr:uid="{00000000-0006-0000-0100-00000A000000}">
      <text>
        <r>
          <rPr>
            <sz val="10"/>
            <rFont val="Arial"/>
            <family val="2"/>
          </rPr>
          <t>Placeholder – replace with Meralco/MGEN data. Client benchmark provided in chat: typical Philippine coal benchmark GAR 5000–5500, required for HELE efficiency and emission compliance in newer units. Conversion basis used in model: GJ/t = kcal/kg × 0.0041868. Replace with Meralco contracted coal specs / test reports.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0"/>
            <rFont val="Arial"/>
            <family val="2"/>
          </rPr>
          <t>Illustrative placeholder assumption. Replace with MGEN operating data.</t>
        </r>
      </text>
    </comment>
    <comment ref="B4" authorId="0" shapeId="0" xr:uid="{00000000-0006-0000-0200-000002000000}">
      <text>
        <r>
          <rPr>
            <sz val="10"/>
            <rFont val="Arial"/>
            <family val="2"/>
          </rPr>
          <t>Generic placeholder oil product differential for oil peaker conversion; replace with Meralco/MGEN procurement basis.
Source anchor: U.S. EIA petroleum product pricing reference pages and crack spread context: https://www.eia.gov/petroleum/gasdiesel/
Placeholder – replace with Meralco/MGEN plant/procurement data.</t>
        </r>
      </text>
    </comment>
    <comment ref="I4" authorId="0" shapeId="0" xr:uid="{00000000-0006-0000-0200-000003000000}">
      <text>
        <r>
          <rPr>
            <sz val="10"/>
            <rFont val="Arial"/>
            <family val="2"/>
          </rPr>
          <t>Dropdown season selector used by the WESM block model. Hot-dry default selected because higher Luzon peak demand typically occurs in hot conditions.
Sources: https://www.iemop.ph/the-market/market-data/ and https://icsc.ngo/wp-content/uploads/2024/04/2024_PowerOutlook_Briefer.pdf
Industry assumption placeholder — replace with Meralco/MGEN / historical WESM calibration.</t>
        </r>
      </text>
    </comment>
    <comment ref="A5" authorId="0" shapeId="0" xr:uid="{00000000-0006-0000-0200-000004000000}">
      <text>
        <r>
          <rPr>
            <sz val="10"/>
            <rFont val="Arial"/>
            <family val="2"/>
          </rPr>
          <t>Illustrative placeholder assumption. Replace with MGEN operating data.</t>
        </r>
      </text>
    </comment>
    <comment ref="B5" authorId="0" shapeId="0" xr:uid="{00000000-0006-0000-0200-000005000000}">
      <text>
        <r>
          <rPr>
            <sz val="10"/>
            <rFont val="Arial"/>
            <family val="2"/>
          </rPr>
          <t>Illustrative monthly coal dispatch placeholder used for portfolio margin/liquidity examples. Replace with Meralco/MGEN dispatch forecast.
Placeholder – replace with Meralco/MGEN plant data. No public source appropriate for client-specific dispatch.</t>
        </r>
      </text>
    </comment>
    <comment ref="A6" authorId="0" shapeId="0" xr:uid="{00000000-0006-0000-0200-000006000000}">
      <text>
        <r>
          <rPr>
            <sz val="10"/>
            <rFont val="Arial"/>
            <family val="2"/>
          </rPr>
          <t>Illustrative placeholder assumption. Replace with MGEN operating data.</t>
        </r>
      </text>
    </comment>
    <comment ref="B6" authorId="0" shapeId="0" xr:uid="{00000000-0006-0000-0200-000007000000}">
      <text>
        <r>
          <rPr>
            <sz val="10"/>
            <rFont val="Arial"/>
            <family val="2"/>
          </rPr>
          <t>Illustrative monthly gas dispatch placeholder used for portfolio margin/liquidity examples. Replace with Meralco/MGEN dispatch forecast.
Placeholder – replace with Meralco/MGEN plant data. No public source appropriate for client-specific dispatch.</t>
        </r>
      </text>
    </comment>
    <comment ref="A7" authorId="0" shapeId="0" xr:uid="{00000000-0006-0000-0200-000008000000}">
      <text>
        <r>
          <rPr>
            <sz val="10"/>
            <rFont val="Arial"/>
            <family val="2"/>
          </rPr>
          <t>Illustrative placeholder assumption. Replace with MGEN operating data.</t>
        </r>
      </text>
    </comment>
    <comment ref="B7" authorId="0" shapeId="0" xr:uid="{00000000-0006-0000-0200-000009000000}">
      <text>
        <r>
          <rPr>
            <sz val="10"/>
            <rFont val="Arial"/>
            <family val="2"/>
          </rPr>
          <t>Illustrative monthly oil dispatch placeholder used for portfolio margin/liquidity examples. Replace with Meralco/MGEN dispatch forecast.
Placeholder – replace with Meralco/MGEN plant data. No public source appropriate for client-specific dispatch.</t>
        </r>
      </text>
    </comment>
    <comment ref="I7" authorId="0" shapeId="0" xr:uid="{00000000-0006-0000-0200-00000A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J7" authorId="0" shapeId="0" xr:uid="{00000000-0006-0000-0200-00000B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K7" authorId="0" shapeId="0" xr:uid="{00000000-0006-0000-0200-00000C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L7" authorId="0" shapeId="0" xr:uid="{00000000-0006-0000-0200-00000D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A8" authorId="0" shapeId="0" xr:uid="{00000000-0006-0000-0200-00000E000000}">
      <text>
        <r>
          <rPr>
            <sz val="10"/>
            <rFont val="Arial"/>
            <family val="2"/>
          </rPr>
          <t>Illustrative placeholder assumption. Replace with MGEN operating data.</t>
        </r>
      </text>
    </comment>
    <comment ref="B8" authorId="0" shapeId="0" xr:uid="{00000000-0006-0000-0200-00000F000000}">
      <text>
        <r>
          <rPr>
            <sz val="10"/>
            <rFont val="Arial"/>
            <family val="2"/>
          </rPr>
          <t>Legacy single-point demand input kept for backward compatibility; updated WESM model now uses off-peak / shoulder / peak demand blocks in this sheet. Calibrate with IEMOP historical demand.
Sources: https://www.iemop.ph/the-market/market-data/ and January 2024 / Daily Significant Variations reports.
Industry assumption placeholder — replace with Meralco/MGEN / historical WESM calibration.</t>
        </r>
      </text>
    </comment>
    <comment ref="I8" authorId="0" shapeId="0" xr:uid="{00000000-0006-0000-0200-000010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J8" authorId="0" shapeId="0" xr:uid="{00000000-0006-0000-0200-000011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K8" authorId="0" shapeId="0" xr:uid="{00000000-0006-0000-0200-000012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L8" authorId="0" shapeId="0" xr:uid="{00000000-0006-0000-0200-000013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A9" authorId="0" shapeId="0" xr:uid="{00000000-0006-0000-0200-000014000000}">
      <text>
        <r>
          <rPr>
            <sz val="10"/>
            <rFont val="Arial"/>
            <family val="2"/>
          </rPr>
          <t>Illustrative placeholder assumption. Replace with MGEN operating data.</t>
        </r>
      </text>
    </comment>
    <comment ref="B9" authorId="0" shapeId="0" xr:uid="{00000000-0006-0000-0200-000015000000}">
      <text>
        <r>
          <rPr>
            <sz val="10"/>
            <rFont val="Arial"/>
            <family val="2"/>
          </rPr>
          <t>Illustrative reserve-awarded volume placeholder used for portfolio reserve revenue. Replace with Meralco/MGEN reserve market participation data.
Placeholder – replace with Meralco/MGEN plant data. Public market reserve characteristics reference: https://www.iemop.ph/the-market/market-data/</t>
        </r>
      </text>
    </comment>
    <comment ref="I9" authorId="0" shapeId="0" xr:uid="{00000000-0006-0000-0200-000016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J9" authorId="0" shapeId="0" xr:uid="{00000000-0006-0000-0200-000017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K9" authorId="0" shapeId="0" xr:uid="{00000000-0006-0000-0200-000018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L9" authorId="0" shapeId="0" xr:uid="{00000000-0006-0000-0200-000019000000}">
      <text>
        <r>
          <rPr>
            <sz val="10"/>
            <rFont val="Arial"/>
            <family val="2"/>
          </rPr>
          <t>Industry assumption placeholder — replace with Meralco/MGEN / historical WESM calibration. Seasonal multiplier recalibrated so selected-season renewable CFs are consistent with NGCP planning anchors (~16% solar, ~30% wind) while hot-dry increases demand and reduces hydro, wet suppresses solar and lifts wind/hydro, and cool-dry is moderate.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I18" authorId="0" shapeId="0" xr:uid="{00000000-0006-0000-0200-00001A000000}">
      <text>
        <r>
          <rPr>
            <sz val="10"/>
            <rFont val="Arial"/>
            <family val="2"/>
          </rPr>
          <t>Stylized Luzon demand block placeholder calibrated to IEMOP-reported Luzon average demand and peak-demand ranges (e.g., Jan 2024 average demand 8,629 MW; Apr 2025 peaks &gt;11 GW).
Sources: https://www.iemop.ph/the-market/market-data/ and January 2024 / Daily Significant Variations reports.
Industry assumption placeholder — replace with Meralco/MGEN / historical WESM calibration.</t>
        </r>
      </text>
    </comment>
    <comment ref="J18" authorId="0" shapeId="0" xr:uid="{00000000-0006-0000-0200-00001B000000}">
      <text>
        <r>
          <rPr>
            <sz val="10"/>
            <rFont val="Arial"/>
            <family val="2"/>
          </rPr>
          <t>Hours/day weighting for LWAP proxy; should sum to 24.
Industry assumption placeholder — replace with Meralco/MGEN / historical WESM calibration.</t>
        </r>
      </text>
    </comment>
    <comment ref="I19" authorId="0" shapeId="0" xr:uid="{00000000-0006-0000-0200-00001C000000}">
      <text>
        <r>
          <rPr>
            <sz val="10"/>
            <rFont val="Arial"/>
            <family val="2"/>
          </rPr>
          <t>Stylized Luzon demand block placeholder calibrated to IEMOP-reported Luzon average demand and peak-demand ranges (e.g., Jan 2024 average demand 8,629 MW; Apr 2025 peaks &gt;11 GW).
Sources: https://www.iemop.ph/the-market/market-data/ and January 2024 / Daily Significant Variations reports.
Industry assumption placeholder — replace with Meralco/MGEN / historical WESM calibration.</t>
        </r>
      </text>
    </comment>
    <comment ref="J19" authorId="0" shapeId="0" xr:uid="{00000000-0006-0000-0200-00001D000000}">
      <text>
        <r>
          <rPr>
            <sz val="10"/>
            <rFont val="Arial"/>
            <family val="2"/>
          </rPr>
          <t>Hours/day weighting for LWAP proxy; should sum to 24.
Industry assumption placeholder — replace with Meralco/MGEN / historical WESM calibration.</t>
        </r>
      </text>
    </comment>
    <comment ref="I20" authorId="0" shapeId="0" xr:uid="{00000000-0006-0000-0200-00001E000000}">
      <text>
        <r>
          <rPr>
            <sz val="10"/>
            <rFont val="Arial"/>
            <family val="2"/>
          </rPr>
          <t>Stylized Luzon demand block placeholder calibrated to IEMOP-reported Luzon average demand and peak-demand ranges (e.g., Jan 2024 average demand 8,629 MW; Apr 2025 peaks &gt;11 GW).
Sources: https://www.iemop.ph/the-market/market-data/ and January 2024 / Daily Significant Variations reports.
Industry assumption placeholder — replace with Meralco/MGEN / historical WESM calibration.</t>
        </r>
      </text>
    </comment>
    <comment ref="J20" authorId="0" shapeId="0" xr:uid="{00000000-0006-0000-0200-00001F000000}">
      <text>
        <r>
          <rPr>
            <sz val="10"/>
            <rFont val="Arial"/>
            <family val="2"/>
          </rPr>
          <t>Hours/day weighting for LWAP proxy; should sum to 24.
Industry assumption placeholder — replace with Meralco/MGEN / historical WESM calibration.</t>
        </r>
      </text>
    </comment>
    <comment ref="I24" authorId="0" shapeId="0" xr:uid="{00000000-0006-0000-0200-000020000000}">
      <text>
        <r>
          <rPr>
            <sz val="10"/>
            <rFont val="Arial"/>
            <family val="2"/>
          </rPr>
          <t>Placeholder – replace with Meralco/MGEN data. Base renewable block-shape factors used by the Luzon merit-order model. Set so selected-season implied daily capacity factors are approximately aligned to NGCP planning anchors of ~16% for solar and ~30% for wind (24-hour basis). Source: https://www.ngcp.ph/Attachment-Uploads/DOE%20Approved%20Actual%20Weekly%20Power%20Outlook%20as%20of%20Dec%2031%2C%202024-2025-03-05-10-18-32.pdf</t>
        </r>
      </text>
    </comment>
    <comment ref="J24" authorId="0" shapeId="0" xr:uid="{00000000-0006-0000-0200-000021000000}">
      <text>
        <r>
          <rPr>
            <sz val="10"/>
            <rFont val="Arial"/>
            <family val="2"/>
          </rPr>
          <t>Placeholder – replace with Meralco/MGEN data. Base renewable block-shape factors used by the Luzon merit-order model. Set so selected-season implied daily capacity factors are approximately aligned to NGCP planning anchors of ~16% for solar and ~30% for wind (24-hour basis). Source: https://www.ngcp.ph/Attachment-Uploads/DOE%20Approved%20Actual%20Weekly%20Power%20Outlook%20as%20of%20Dec%2031%2C%202024-2025-03-05-10-18-32.pdf</t>
        </r>
      </text>
    </comment>
    <comment ref="K24" authorId="0" shapeId="0" xr:uid="{00000000-0006-0000-0200-000022000000}">
      <text>
        <r>
          <rPr>
            <sz val="10"/>
            <rFont val="Arial"/>
            <family val="2"/>
          </rPr>
          <t>Placeholder – replace with Meralco/MGEN data. Base renewable block-shape factors used by the Luzon merit-order model. Set so selected-season implied daily capacity factors are approximately aligned to NGCP planning anchors of ~16% for solar and ~30% for wind (24-hour basis). Source: https://www.ngcp.ph/Attachment-Uploads/DOE%20Approved%20Actual%20Weekly%20Power%20Outlook%20as%20of%20Dec%2031%2C%202024-2025-03-05-10-18-32.pdf</t>
        </r>
      </text>
    </comment>
    <comment ref="I25" authorId="0" shapeId="0" xr:uid="{00000000-0006-0000-0200-000023000000}">
      <text>
        <r>
          <rPr>
            <sz val="10"/>
            <rFont val="Arial"/>
            <family val="2"/>
          </rPr>
          <t>Placeholder – replace with Meralco/MGEN data. Base renewable block-shape factors used by the Luzon merit-order model. Set so selected-season implied daily capacity factors are approximately aligned to NGCP planning anchors of ~16% for solar and ~30% for wind (24-hour basis). Source: https://www.ngcp.ph/Attachment-Uploads/DOE%20Approved%20Actual%20Weekly%20Power%20Outlook%20as%20of%20Dec%2031%2C%202024-2025-03-05-10-18-32.pdf</t>
        </r>
      </text>
    </comment>
    <comment ref="J25" authorId="0" shapeId="0" xr:uid="{00000000-0006-0000-0200-000024000000}">
      <text>
        <r>
          <rPr>
            <sz val="10"/>
            <rFont val="Arial"/>
            <family val="2"/>
          </rPr>
          <t>Placeholder – replace with Meralco/MGEN data. Base renewable block-shape factors used by the Luzon merit-order model. Set so selected-season implied daily capacity factors are approximately aligned to NGCP planning anchors of ~16% for solar and ~30% for wind (24-hour basis). Source: https://www.ngcp.ph/Attachment-Uploads/DOE%20Approved%20Actual%20Weekly%20Power%20Outlook%20as%20of%20Dec%2031%2C%202024-2025-03-05-10-18-32.pdf</t>
        </r>
      </text>
    </comment>
    <comment ref="K25" authorId="0" shapeId="0" xr:uid="{00000000-0006-0000-0200-000025000000}">
      <text>
        <r>
          <rPr>
            <sz val="10"/>
            <rFont val="Arial"/>
            <family val="2"/>
          </rPr>
          <t>Placeholder – replace with Meralco/MGEN data. Base renewable block-shape factors used by the Luzon merit-order model. Set so selected-season implied daily capacity factors are approximately aligned to NGCP planning anchors of ~16% for solar and ~30% for wind (24-hour basis). Source: https://www.ngcp.ph/Attachment-Uploads/DOE%20Approved%20Actual%20Weekly%20Power%20Outlook%20as%20of%20Dec%2031%2C%202024-2025-03-05-10-18-32.pdf</t>
        </r>
      </text>
    </comment>
    <comment ref="I30" authorId="0" shapeId="0" xr:uid="{00000000-0006-0000-0200-000026000000}">
      <text>
        <r>
          <rPr>
            <sz val="10"/>
            <rFont val="Arial"/>
            <family val="2"/>
          </rPr>
          <t>Placeholder – replace with Meralco/MGEN / historical WESM calibration. Hydro is modeled as energy-limited rather than purely availability-limited. Hot-dry budget is lower and wet-season budget is higher.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J30" authorId="0" shapeId="0" xr:uid="{00000000-0006-0000-0200-000027000000}">
      <text>
        <r>
          <rPr>
            <sz val="10"/>
            <rFont val="Arial"/>
            <family val="2"/>
          </rPr>
          <t>Placeholder – replace with Meralco/MGEN / historical WESM calibration. Hydro is modeled as energy-limited rather than purely availability-limited. Hot-dry budget is lower and wet-season budget is higher.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K30" authorId="0" shapeId="0" xr:uid="{00000000-0006-0000-0200-000028000000}">
      <text>
        <r>
          <rPr>
            <sz val="10"/>
            <rFont val="Arial"/>
            <family val="2"/>
          </rPr>
          <t>Placeholder – replace with Meralco/MGEN / historical WESM calibration. Hydro is modeled as energy-limited rather than purely availability-limited. Hot-dry budget is lower and wet-season budget is higher.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I31" authorId="0" shapeId="0" xr:uid="{00000000-0006-0000-0200-000029000000}">
      <text>
        <r>
          <rPr>
            <sz val="10"/>
            <rFont val="Arial"/>
            <family val="2"/>
          </rPr>
          <t>Placeholder – replace with Meralco/MGEN / historical WESM calibration. Hydro is modeled as energy-limited rather than purely availability-limited. Hot-dry budget is lower and wet-season budget is higher.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J31" authorId="0" shapeId="0" xr:uid="{00000000-0006-0000-0200-00002A000000}">
      <text>
        <r>
          <rPr>
            <sz val="10"/>
            <rFont val="Arial"/>
            <family val="2"/>
          </rPr>
          <t>Placeholder – replace with Meralco/MGEN / historical WESM calibration. Hydro is modeled as energy-limited rather than purely availability-limited. Hot-dry budget is lower and wet-season budget is higher.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K31" authorId="0" shapeId="0" xr:uid="{00000000-0006-0000-0200-00002B000000}">
      <text>
        <r>
          <rPr>
            <sz val="10"/>
            <rFont val="Arial"/>
            <family val="2"/>
          </rPr>
          <t>Placeholder – replace with Meralco/MGEN / historical WESM calibration. Hydro is modeled as energy-limited rather than purely availability-limited. Hot-dry budget is lower and wet-season budget is higher. Sources: https://www.ngcp.ph/Attachment-Uploads/DOE%20Approved%20Actual%20Weekly%20Power%20Outlook%20as%20of%20Dec%2031%2C%202024-2025-03-05-10-18-32.pdf ; https://icsc.ngo/wp-content/uploads/2024/04/2024_PowerOutlook_Briefer.pdf</t>
        </r>
      </text>
    </comment>
    <comment ref="I36" authorId="0" shapeId="0" xr:uid="{00000000-0006-0000-0200-00002C000000}">
      <text>
        <r>
          <rPr>
            <sz val="10"/>
            <rFont val="Arial"/>
            <family val="2"/>
          </rPr>
          <t>Placeholder – replace with Meralco/MGEN / current ERC-WESM parameters. Simplified SPC sensitivity toggle for stress testing. Current implementation uses cap-only logic when toggled on. Sources: https://www.energytransitionpartnership.org/wp-content/uploads/2024/09/Assessment-of-WESM-Price-Analysis_v4_Final.pdf ; https://www.wesm.ph/downloads/download/TWFya2V0IFJlcG9ydHM%3D/MjA4MA%3D%3D</t>
        </r>
      </text>
    </comment>
    <comment ref="I37" authorId="0" shapeId="0" xr:uid="{00000000-0006-0000-0200-00002D000000}">
      <text>
        <r>
          <rPr>
            <sz val="10"/>
            <rFont val="Arial"/>
            <family val="2"/>
          </rPr>
          <t>Placeholder – replace with Meralco/MGEN / current ERC-WESM parameters. Simplified SPC sensitivity toggle for stress testing. Current implementation uses cap-only logic when toggled on. Sources: https://www.energytransitionpartnership.org/wp-content/uploads/2024/09/Assessment-of-WESM-Price-Analysis_v4_Final.pdf ; https://www.wesm.ph/downloads/download/TWFya2V0IFJlcG9ydHM%3D/MjA4MA%3D%3D</t>
        </r>
      </text>
    </comment>
    <comment ref="I38" authorId="0" shapeId="0" xr:uid="{00000000-0006-0000-0200-00002E000000}">
      <text>
        <r>
          <rPr>
            <sz val="10"/>
            <rFont val="Arial"/>
            <family val="2"/>
          </rPr>
          <t>Placeholder – replace with Meralco/MGEN / current ERC-WESM parameters. Simplified SPC sensitivity toggle for stress testing. Current implementation uses cap-only logic when toggled on. Sources: https://www.energytransitionpartnership.org/wp-content/uploads/2024/09/Assessment-of-WESM-Price-Analysis_v4_Final.pdf ; https://www.wesm.ph/downloads/download/TWFya2V0IFJlcG9ydHM%3D/MjA4MA%3D%3D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2" authorId="0" shapeId="0" xr:uid="{00000000-0006-0000-0300-000001000000}">
      <text>
        <r>
          <rPr>
            <sz val="10"/>
            <rFont val="Arial"/>
            <family val="2"/>
          </rPr>
          <t>Data as-of date for market proxy references used in comments.
Sources: Brent https://www.investing.com/commodities/brent-oil-historical-data ; JKM https://www.investing.com/commodities/lng-japan-korea-marker-platts-futures-historical-data ; Newcastle https://www.investing.com/commodities/newcastle-coal-futures-historical-data ; USD/PHP https://www.exchange-rates.org/exchange-rate-history/usd-php-2026</t>
        </r>
      </text>
    </comment>
    <comment ref="J3" authorId="0" shapeId="0" xr:uid="{00000000-0006-0000-0300-000002000000}">
      <text>
        <r>
          <rPr>
            <sz val="10"/>
            <rFont val="Arial"/>
            <family val="2"/>
          </rPr>
          <t>Base reference date used to translate the proposal slide's percentage shock assumptions into central scenario values. Pre-escalation proxy = 27 Feb 2026 close.
Sources: same market data URLs as J2</t>
        </r>
      </text>
    </comment>
    <comment ref="A7" authorId="0" shapeId="0" xr:uid="{00000000-0006-0000-0300-000003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7" authorId="0" shapeId="0" xr:uid="{00000000-0006-0000-0300-000004000000}">
      <text>
        <r>
          <rPr>
            <sz val="10"/>
            <rFont val="Arial"/>
            <family val="2"/>
          </rPr>
          <t>Scenario duration placeholder converted from slide wording into central day counts. S1 = 2–4 weeks (30d), S2 = 2–4 months (120d), S3 = 6+ months (180d central).
Scenario framework sourced from proposal Module 1 slide (attached).</t>
        </r>
      </text>
    </comment>
    <comment ref="D7" authorId="0" shapeId="0" xr:uid="{00000000-0006-0000-0300-000005000000}">
      <text>
        <r>
          <rPr>
            <sz val="10"/>
            <rFont val="Arial"/>
            <family val="2"/>
          </rPr>
          <t>Scenario duration placeholder converted from slide wording into central day counts. S1 = 2–4 weeks (30d), S2 = 2–4 months (120d), S3 = 6+ months (180d central).
Scenario framework sourced from proposal Module 1 slide (attached).</t>
        </r>
      </text>
    </comment>
    <comment ref="E7" authorId="0" shapeId="0" xr:uid="{00000000-0006-0000-0300-000006000000}">
      <text>
        <r>
          <rPr>
            <sz val="10"/>
            <rFont val="Arial"/>
            <family val="2"/>
          </rPr>
          <t>Scenario duration placeholder converted from slide wording into central day counts. S1 = 2–4 weeks (30d), S2 = 2–4 months (120d), S3 = 6+ months (180d central).
Scenario framework sourced from proposal Module 1 slide (attached).</t>
        </r>
      </text>
    </comment>
    <comment ref="F7" authorId="0" shapeId="0" xr:uid="{00000000-0006-0000-0300-000007000000}">
      <text>
        <r>
          <rPr>
            <sz val="10"/>
            <rFont val="Arial"/>
            <family val="2"/>
          </rPr>
          <t>Scenario duration placeholder converted from slide wording into central day counts. S1 = 2–4 weeks (30d), S2 = 2–4 months (120d), S3 = 6+ months (180d central).
Scenario framework sourced from proposal Module 1 slide (attached).</t>
        </r>
      </text>
    </comment>
    <comment ref="A8" authorId="0" shapeId="0" xr:uid="{00000000-0006-0000-0300-000008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8" authorId="0" shapeId="0" xr:uid="{00000000-0006-0000-0300-000009000000}">
      <text>
        <r>
          <rPr>
            <sz val="10"/>
            <rFont val="Arial"/>
            <family val="2"/>
          </rPr>
          <t>Brent central values aligned to slide: S1 $75–85, S2 $90–100 sustained, S3 $120–150+ spike. Base = 27 Feb 2026 pre-escalation Brent close proxy.
Sources: proposal Module 1 slide; https://www.investing.com/commodities/brent-oil-historical-data</t>
        </r>
      </text>
    </comment>
    <comment ref="D8" authorId="0" shapeId="0" xr:uid="{00000000-0006-0000-0300-00000A000000}">
      <text>
        <r>
          <rPr>
            <sz val="10"/>
            <rFont val="Arial"/>
            <family val="2"/>
          </rPr>
          <t>Brent central values aligned to slide: S1 $75–85, S2 $90–100 sustained, S3 $120–150+ spike. Base = 27 Feb 2026 pre-escalation Brent close proxy.
Sources: proposal Module 1 slide; https://www.investing.com/commodities/brent-oil-historical-data</t>
        </r>
      </text>
    </comment>
    <comment ref="E8" authorId="0" shapeId="0" xr:uid="{00000000-0006-0000-0300-00000B000000}">
      <text>
        <r>
          <rPr>
            <sz val="10"/>
            <rFont val="Arial"/>
            <family val="2"/>
          </rPr>
          <t>Brent central values aligned to slide: S1 $75–85, S2 $90–100 sustained, S3 $120–150+ spike. Base = 27 Feb 2026 pre-escalation Brent close proxy.
Sources: proposal Module 1 slide; https://www.investing.com/commodities/brent-oil-historical-data</t>
        </r>
      </text>
    </comment>
    <comment ref="F8" authorId="0" shapeId="0" xr:uid="{00000000-0006-0000-0300-00000C000000}">
      <text>
        <r>
          <rPr>
            <sz val="10"/>
            <rFont val="Arial"/>
            <family val="2"/>
          </rPr>
          <t>Brent central values aligned to slide: S1 $75–85, S2 $90–100 sustained, S3 $120–150+ spike. Base = 27 Feb 2026 pre-escalation Brent close proxy.
Sources: proposal Module 1 slide; https://www.investing.com/commodities/brent-oil-historical-data</t>
        </r>
      </text>
    </comment>
    <comment ref="A9" authorId="0" shapeId="0" xr:uid="{00000000-0006-0000-0300-00000D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9" authorId="0" shapeId="0" xr:uid="{00000000-0006-0000-0300-00000E000000}">
      <text>
        <r>
          <rPr>
            <sz val="10"/>
            <rFont val="Arial"/>
            <family val="2"/>
          </rPr>
          <t>JKM scenarios converted from slide percentages vs pre-escalation base (27 Feb 2026 close 10.725 USD/MMBtu): S1 +15%, S2 +45%, S3 +115% central points within slide ranges.
Sources: proposal Module 1 slide; https://www.investing.com/commodities/lng-japan-korea-marker-platts-futures-historical-data</t>
        </r>
      </text>
    </comment>
    <comment ref="D9" authorId="0" shapeId="0" xr:uid="{00000000-0006-0000-0300-00000F000000}">
      <text>
        <r>
          <rPr>
            <sz val="10"/>
            <rFont val="Arial"/>
            <family val="2"/>
          </rPr>
          <t>JKM scenarios converted from slide percentages vs pre-escalation base (27 Feb 2026 close 10.725 USD/MMBtu): S1 +15%, S2 +45%, S3 +115% central points within slide ranges.
Sources: proposal Module 1 slide; https://www.investing.com/commodities/lng-japan-korea-marker-platts-futures-historical-data</t>
        </r>
      </text>
    </comment>
    <comment ref="E9" authorId="0" shapeId="0" xr:uid="{00000000-0006-0000-0300-000010000000}">
      <text>
        <r>
          <rPr>
            <sz val="10"/>
            <rFont val="Arial"/>
            <family val="2"/>
          </rPr>
          <t>JKM scenarios converted from slide percentages vs pre-escalation base (27 Feb 2026 close 10.725 USD/MMBtu): S1 +15%, S2 +45%, S3 +115% central points within slide ranges.
Sources: proposal Module 1 slide; https://www.investing.com/commodities/lng-japan-korea-marker-platts-futures-historical-data</t>
        </r>
      </text>
    </comment>
    <comment ref="F9" authorId="0" shapeId="0" xr:uid="{00000000-0006-0000-0300-000011000000}">
      <text>
        <r>
          <rPr>
            <sz val="10"/>
            <rFont val="Arial"/>
            <family val="2"/>
          </rPr>
          <t>JKM scenarios converted from slide percentages vs pre-escalation base (27 Feb 2026 close 10.725 USD/MMBtu): S1 +15%, S2 +45%, S3 +115% central points within slide ranges.
Sources: proposal Module 1 slide; https://www.investing.com/commodities/lng-japan-korea-marker-platts-futures-historical-data</t>
        </r>
      </text>
    </comment>
    <comment ref="A10" authorId="0" shapeId="0" xr:uid="{00000000-0006-0000-0300-000012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0" authorId="0" shapeId="0" xr:uid="{00000000-0006-0000-0300-000013000000}">
      <text>
        <r>
          <rPr>
            <sz val="10"/>
            <rFont val="Arial"/>
            <family val="2"/>
          </rPr>
          <t>Newcastle coal scenarios converted from slide percentages vs pre-escalation base (27 Feb 2026 close 115.80 USD/t): S1 +7.5%, S2 +22.5%, S3 +45% central points.
Sources: proposal Module 1 slide; https://www.investing.com/commodities/newcastle-coal-futures-historical-data</t>
        </r>
      </text>
    </comment>
    <comment ref="D10" authorId="0" shapeId="0" xr:uid="{00000000-0006-0000-0300-000014000000}">
      <text>
        <r>
          <rPr>
            <sz val="10"/>
            <rFont val="Arial"/>
            <family val="2"/>
          </rPr>
          <t>Newcastle coal scenarios converted from slide percentages vs pre-escalation base (27 Feb 2026 close 115.80 USD/t): S1 +7.5%, S2 +22.5%, S3 +45% central points.
Sources: proposal Module 1 slide; https://www.investing.com/commodities/newcastle-coal-futures-historical-data</t>
        </r>
      </text>
    </comment>
    <comment ref="E10" authorId="0" shapeId="0" xr:uid="{00000000-0006-0000-0300-000015000000}">
      <text>
        <r>
          <rPr>
            <sz val="10"/>
            <rFont val="Arial"/>
            <family val="2"/>
          </rPr>
          <t>Newcastle coal scenarios converted from slide percentages vs pre-escalation base (27 Feb 2026 close 115.80 USD/t): S1 +7.5%, S2 +22.5%, S3 +45% central points.
Sources: proposal Module 1 slide; https://www.investing.com/commodities/newcastle-coal-futures-historical-data</t>
        </r>
      </text>
    </comment>
    <comment ref="F10" authorId="0" shapeId="0" xr:uid="{00000000-0006-0000-0300-000016000000}">
      <text>
        <r>
          <rPr>
            <sz val="10"/>
            <rFont val="Arial"/>
            <family val="2"/>
          </rPr>
          <t>Newcastle coal scenarios converted from slide percentages vs pre-escalation base (27 Feb 2026 close 115.80 USD/t): S1 +7.5%, S2 +22.5%, S3 +45% central points.
Sources: proposal Module 1 slide; https://www.investing.com/commodities/newcastle-coal-futures-historical-data</t>
        </r>
      </text>
    </comment>
    <comment ref="A11" authorId="0" shapeId="0" xr:uid="{00000000-0006-0000-0300-000017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1" authorId="0" shapeId="0" xr:uid="{00000000-0006-0000-0300-000018000000}">
      <text>
        <r>
          <rPr>
            <sz val="10"/>
            <rFont val="Arial"/>
            <family val="2"/>
          </rPr>
          <t>Coal freight central values mapped from slide freight uplifts: S1 +15%, S2 +45%, S3 +95% vs generic base freight 10 USD/t. Replace with route-specific delivered freight assumptions.
Sources: proposal Module 1 slide; Placeholder – replace with Meralco/MGEN / delivered freight basis.</t>
        </r>
      </text>
    </comment>
    <comment ref="D11" authorId="0" shapeId="0" xr:uid="{00000000-0006-0000-0300-000019000000}">
      <text>
        <r>
          <rPr>
            <sz val="10"/>
            <rFont val="Arial"/>
            <family val="2"/>
          </rPr>
          <t>Coal freight central values mapped from slide freight uplifts: S1 +15%, S2 +45%, S3 +95% vs generic base freight 10 USD/t. Replace with route-specific delivered freight assumptions.
Sources: proposal Module 1 slide; Placeholder – replace with Meralco/MGEN / delivered freight basis.</t>
        </r>
      </text>
    </comment>
    <comment ref="E11" authorId="0" shapeId="0" xr:uid="{00000000-0006-0000-0300-00001A000000}">
      <text>
        <r>
          <rPr>
            <sz val="10"/>
            <rFont val="Arial"/>
            <family val="2"/>
          </rPr>
          <t>Coal freight central values mapped from slide freight uplifts: S1 +15%, S2 +45%, S3 +95% vs generic base freight 10 USD/t. Replace with route-specific delivered freight assumptions.
Sources: proposal Module 1 slide; Placeholder – replace with Meralco/MGEN / delivered freight basis.</t>
        </r>
      </text>
    </comment>
    <comment ref="F11" authorId="0" shapeId="0" xr:uid="{00000000-0006-0000-0300-00001B000000}">
      <text>
        <r>
          <rPr>
            <sz val="10"/>
            <rFont val="Arial"/>
            <family val="2"/>
          </rPr>
          <t>Coal freight central values mapped from slide freight uplifts: S1 +15%, S2 +45%, S3 +95% vs generic base freight 10 USD/t. Replace with route-specific delivered freight assumptions.
Sources: proposal Module 1 slide; Placeholder – replace with Meralco/MGEN / delivered freight basis.</t>
        </r>
      </text>
    </comment>
    <comment ref="A12" authorId="0" shapeId="0" xr:uid="{00000000-0006-0000-0300-00001C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2" authorId="0" shapeId="0" xr:uid="{00000000-0006-0000-0300-00001D000000}">
      <text>
        <r>
          <rPr>
            <sz val="10"/>
            <rFont val="Arial"/>
            <family val="2"/>
          </rPr>
          <t>Marine insurance / war-risk central proxy mapped to slide language: S1 elevated, S2 2–3x, S3 selective withdrawal / disrupted. Replace with actual war-risk insurance or chartering input.
Sources: proposal Module 1 slide; Placeholder – replace with Meralco/MGEN / shipping basis.</t>
        </r>
      </text>
    </comment>
    <comment ref="D12" authorId="0" shapeId="0" xr:uid="{00000000-0006-0000-0300-00001E000000}">
      <text>
        <r>
          <rPr>
            <sz val="10"/>
            <rFont val="Arial"/>
            <family val="2"/>
          </rPr>
          <t>Marine insurance / war-risk central proxy mapped to slide language: S1 elevated, S2 2–3x, S3 selective withdrawal / disrupted. Replace with actual war-risk insurance or chartering input.
Sources: proposal Module 1 slide; Placeholder – replace with Meralco/MGEN / shipping basis.</t>
        </r>
      </text>
    </comment>
    <comment ref="E12" authorId="0" shapeId="0" xr:uid="{00000000-0006-0000-0300-00001F000000}">
      <text>
        <r>
          <rPr>
            <sz val="10"/>
            <rFont val="Arial"/>
            <family val="2"/>
          </rPr>
          <t>Marine insurance / war-risk central proxy mapped to slide language: S1 elevated, S2 2–3x, S3 selective withdrawal / disrupted. Replace with actual war-risk insurance or chartering input.
Sources: proposal Module 1 slide; Placeholder – replace with Meralco/MGEN / shipping basis.</t>
        </r>
      </text>
    </comment>
    <comment ref="F12" authorId="0" shapeId="0" xr:uid="{00000000-0006-0000-0300-000020000000}">
      <text>
        <r>
          <rPr>
            <sz val="10"/>
            <rFont val="Arial"/>
            <family val="2"/>
          </rPr>
          <t>Marine insurance / war-risk central proxy mapped to slide language: S1 elevated, S2 2–3x, S3 selective withdrawal / disrupted. Replace with actual war-risk insurance or chartering input.
Sources: proposal Module 1 slide; Placeholder – replace with Meralco/MGEN / shipping basis.</t>
        </r>
      </text>
    </comment>
    <comment ref="A13" authorId="0" shapeId="0" xr:uid="{00000000-0006-0000-0300-000021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3" authorId="0" shapeId="0" xr:uid="{00000000-0006-0000-0300-000022000000}">
      <text>
        <r>
          <rPr>
            <sz val="10"/>
            <rFont val="Arial"/>
            <family val="2"/>
          </rPr>
          <t>Coal logistics adder converts qualitative disruption risk into auditable landed-cost adders. Central assumptions reflect minor congestion / demurrage / rerouting costs.
Scenario framework sourced from proposal Module 1 slide (attached). Placeholder – replace with Meralco/MGEN coal supply-chain assumptions.</t>
        </r>
      </text>
    </comment>
    <comment ref="D13" authorId="0" shapeId="0" xr:uid="{00000000-0006-0000-0300-000023000000}">
      <text>
        <r>
          <rPr>
            <sz val="10"/>
            <rFont val="Arial"/>
            <family val="2"/>
          </rPr>
          <t>Coal logistics adder converts qualitative disruption risk into auditable landed-cost adders. Central assumptions reflect minor congestion / demurrage / rerouting costs.
Scenario framework sourced from proposal Module 1 slide (attached). Placeholder – replace with Meralco/MGEN coal supply-chain assumptions.</t>
        </r>
      </text>
    </comment>
    <comment ref="E13" authorId="0" shapeId="0" xr:uid="{00000000-0006-0000-0300-000024000000}">
      <text>
        <r>
          <rPr>
            <sz val="10"/>
            <rFont val="Arial"/>
            <family val="2"/>
          </rPr>
          <t>Coal logistics adder converts qualitative disruption risk into auditable landed-cost adders. Central assumptions reflect minor congestion / demurrage / rerouting costs.
Scenario framework sourced from proposal Module 1 slide (attached). Placeholder – replace with Meralco/MGEN coal supply-chain assumptions.</t>
        </r>
      </text>
    </comment>
    <comment ref="F13" authorId="0" shapeId="0" xr:uid="{00000000-0006-0000-0300-000025000000}">
      <text>
        <r>
          <rPr>
            <sz val="10"/>
            <rFont val="Arial"/>
            <family val="2"/>
          </rPr>
          <t>Coal logistics adder converts qualitative disruption risk into auditable landed-cost adders. Central assumptions reflect minor congestion / demurrage / rerouting costs.
Scenario framework sourced from proposal Module 1 slide (attached). Placeholder – replace with Meralco/MGEN coal supply-chain assumptions.</t>
        </r>
      </text>
    </comment>
    <comment ref="A14" authorId="0" shapeId="0" xr:uid="{00000000-0006-0000-0300-000026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4" authorId="0" shapeId="0" xr:uid="{00000000-0006-0000-0300-000027000000}">
      <text>
        <r>
          <rPr>
            <sz val="10"/>
            <rFont val="Arial"/>
            <family val="2"/>
          </rPr>
          <t>USD/PHP central values mapped to slide ranges using pre-escalation base 57.741 and central uplifts of +2%, +4.5%, +8%.
Sources: proposal Module 1 slide; https://www.exchange-rates.org/exchange-rate-history/usd-php-2026</t>
        </r>
      </text>
    </comment>
    <comment ref="D14" authorId="0" shapeId="0" xr:uid="{00000000-0006-0000-0300-000028000000}">
      <text>
        <r>
          <rPr>
            <sz val="10"/>
            <rFont val="Arial"/>
            <family val="2"/>
          </rPr>
          <t>USD/PHP central values mapped to slide ranges using pre-escalation base 57.741 and central uplifts of +2%, +4.5%, +8%.
Sources: proposal Module 1 slide; https://www.exchange-rates.org/exchange-rate-history/usd-php-2026</t>
        </r>
      </text>
    </comment>
    <comment ref="E14" authorId="0" shapeId="0" xr:uid="{00000000-0006-0000-0300-000029000000}">
      <text>
        <r>
          <rPr>
            <sz val="10"/>
            <rFont val="Arial"/>
            <family val="2"/>
          </rPr>
          <t>USD/PHP central values mapped to slide ranges using pre-escalation base 57.741 and central uplifts of +2%, +4.5%, +8%.
Sources: proposal Module 1 slide; https://www.exchange-rates.org/exchange-rate-history/usd-php-2026</t>
        </r>
      </text>
    </comment>
    <comment ref="F14" authorId="0" shapeId="0" xr:uid="{00000000-0006-0000-0300-00002A000000}">
      <text>
        <r>
          <rPr>
            <sz val="10"/>
            <rFont val="Arial"/>
            <family val="2"/>
          </rPr>
          <t>USD/PHP central values mapped to slide ranges using pre-escalation base 57.741 and central uplifts of +2%, +4.5%, +8%.
Sources: proposal Module 1 slide; https://www.exchange-rates.org/exchange-rate-history/usd-php-2026</t>
        </r>
      </text>
    </comment>
    <comment ref="A15" authorId="0" shapeId="0" xr:uid="{00000000-0006-0000-0300-00002B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5" authorId="0" shapeId="0" xr:uid="{00000000-0006-0000-0300-00002C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D15" authorId="0" shapeId="0" xr:uid="{00000000-0006-0000-0300-00002D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E15" authorId="0" shapeId="0" xr:uid="{00000000-0006-0000-0300-00002E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F15" authorId="0" shapeId="0" xr:uid="{00000000-0006-0000-0300-00002F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A16" authorId="0" shapeId="0" xr:uid="{00000000-0006-0000-0300-000030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6" authorId="0" shapeId="0" xr:uid="{00000000-0006-0000-0300-000031000000}">
      <text>
        <r>
          <rPr>
            <sz val="10"/>
            <rFont val="Arial"/>
            <family val="2"/>
          </rPr>
          <t>Placeholder – replace with Meralco/MGEN data. Scenario throughput / availability framework sourced from proposal slide and user prompt: Base 100%, S1 97%, S2 85%, S3 70%. Used to derate gas available MW in the Luzon merit-order and reserve scarcity proxy.</t>
        </r>
      </text>
    </comment>
    <comment ref="D16" authorId="0" shapeId="0" xr:uid="{00000000-0006-0000-0300-000032000000}">
      <text>
        <r>
          <rPr>
            <sz val="10"/>
            <rFont val="Arial"/>
            <family val="2"/>
          </rPr>
          <t>Placeholder – replace with Meralco/MGEN data. Scenario throughput / availability framework sourced from proposal slide and user prompt: Base 100%, S1 97%, S2 85%, S3 70%. Used to derate gas available MW in the Luzon merit-order and reserve scarcity proxy.</t>
        </r>
      </text>
    </comment>
    <comment ref="E16" authorId="0" shapeId="0" xr:uid="{00000000-0006-0000-0300-000033000000}">
      <text>
        <r>
          <rPr>
            <sz val="10"/>
            <rFont val="Arial"/>
            <family val="2"/>
          </rPr>
          <t>Placeholder – replace with Meralco/MGEN data. Scenario throughput / availability framework sourced from proposal slide and user prompt: Base 100%, S1 97%, S2 85%, S3 70%. Used to derate gas available MW in the Luzon merit-order and reserve scarcity proxy.</t>
        </r>
      </text>
    </comment>
    <comment ref="F16" authorId="0" shapeId="0" xr:uid="{00000000-0006-0000-0300-000034000000}">
      <text>
        <r>
          <rPr>
            <sz val="10"/>
            <rFont val="Arial"/>
            <family val="2"/>
          </rPr>
          <t>Placeholder – replace with Meralco/MGEN data. Scenario throughput / availability framework sourced from proposal slide and user prompt: Base 100%, S1 97%, S2 85%, S3 70%. Used to derate gas available MW in the Luzon merit-order and reserve scarcity proxy.</t>
        </r>
      </text>
    </comment>
    <comment ref="A17" authorId="0" shapeId="0" xr:uid="{00000000-0006-0000-0300-000035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7" authorId="0" shapeId="0" xr:uid="{00000000-0006-0000-0300-000036000000}">
      <text>
        <r>
          <rPr>
            <sz val="10"/>
            <rFont val="Arial"/>
            <family val="2"/>
          </rPr>
          <t>Coal delay days convert logistics disruption into working-capital and inventory effects: S1 3–7d -&gt; 5d central, S2 1–3 weeks -&gt; 14d, S3 multi-week disruptions -&gt; 28d.
Scenario framework sourced from proposal Module 1 slide (attached).</t>
        </r>
      </text>
    </comment>
    <comment ref="D17" authorId="0" shapeId="0" xr:uid="{00000000-0006-0000-0300-000037000000}">
      <text>
        <r>
          <rPr>
            <sz val="10"/>
            <rFont val="Arial"/>
            <family val="2"/>
          </rPr>
          <t>Coal delay days convert logistics disruption into working-capital and inventory effects: S1 3–7d -&gt; 5d central, S2 1–3 weeks -&gt; 14d, S3 multi-week disruptions -&gt; 28d.
Scenario framework sourced from proposal Module 1 slide (attached).</t>
        </r>
      </text>
    </comment>
    <comment ref="E17" authorId="0" shapeId="0" xr:uid="{00000000-0006-0000-0300-000038000000}">
      <text>
        <r>
          <rPr>
            <sz val="10"/>
            <rFont val="Arial"/>
            <family val="2"/>
          </rPr>
          <t>Coal delay days convert logistics disruption into working-capital and inventory effects: S1 3–7d -&gt; 5d central, S2 1–3 weeks -&gt; 14d, S3 multi-week disruptions -&gt; 28d.
Scenario framework sourced from proposal Module 1 slide (attached).</t>
        </r>
      </text>
    </comment>
    <comment ref="F17" authorId="0" shapeId="0" xr:uid="{00000000-0006-0000-0300-000039000000}">
      <text>
        <r>
          <rPr>
            <sz val="10"/>
            <rFont val="Arial"/>
            <family val="2"/>
          </rPr>
          <t>Coal delay days convert logistics disruption into working-capital and inventory effects: S1 3–7d -&gt; 5d central, S2 1–3 weeks -&gt; 14d, S3 multi-week disruptions -&gt; 28d.
Scenario framework sourced from proposal Module 1 slide (attached).</t>
        </r>
      </text>
    </comment>
    <comment ref="A18" authorId="0" shapeId="0" xr:uid="{00000000-0006-0000-0300-00003A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8" authorId="0" shapeId="0" xr:uid="{00000000-0006-0000-0300-00003B000000}">
      <text>
        <r>
          <rPr>
            <sz val="10"/>
            <rFont val="Arial"/>
            <family val="2"/>
          </rPr>
          <t>Bid uplift is an explicit auditable proxy to bridge marginal SRMC to observed WESM LWAP; calibrate with historical IEMOP market data.
Sources: https://www.iemop.ph/the-market/market-data/ ; industry assumption placeholder — replace with client calibration.</t>
        </r>
      </text>
    </comment>
    <comment ref="D18" authorId="0" shapeId="0" xr:uid="{00000000-0006-0000-0300-00003C000000}">
      <text>
        <r>
          <rPr>
            <sz val="10"/>
            <rFont val="Arial"/>
            <family val="2"/>
          </rPr>
          <t>Bid uplift is an explicit auditable proxy to bridge marginal SRMC to observed WESM LWAP; calibrate with historical IEMOP market data.
Sources: https://www.iemop.ph/the-market/market-data/ ; industry assumption placeholder — replace with client calibration.</t>
        </r>
      </text>
    </comment>
    <comment ref="E18" authorId="0" shapeId="0" xr:uid="{00000000-0006-0000-0300-00003D000000}">
      <text>
        <r>
          <rPr>
            <sz val="10"/>
            <rFont val="Arial"/>
            <family val="2"/>
          </rPr>
          <t>Bid uplift is an explicit auditable proxy to bridge marginal SRMC to observed WESM LWAP; calibrate with historical IEMOP market data.
Sources: https://www.iemop.ph/the-market/market-data/ ; industry assumption placeholder — replace with client calibration.</t>
        </r>
      </text>
    </comment>
    <comment ref="F18" authorId="0" shapeId="0" xr:uid="{00000000-0006-0000-0300-00003E000000}">
      <text>
        <r>
          <rPr>
            <sz val="10"/>
            <rFont val="Arial"/>
            <family val="2"/>
          </rPr>
          <t>Bid uplift is an explicit auditable proxy to bridge marginal SRMC to observed WESM LWAP; calibrate with historical IEMOP market data.
Sources: https://www.iemop.ph/the-market/market-data/ ; industry assumption placeholder — replace with client calibration.</t>
        </r>
      </text>
    </comment>
    <comment ref="A19" authorId="0" shapeId="0" xr:uid="{00000000-0006-0000-0300-00003F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19" authorId="0" shapeId="0" xr:uid="{00000000-0006-0000-0300-000040000000}">
      <text>
        <r>
          <rPr>
            <sz val="10"/>
            <rFont val="Arial"/>
            <family val="2"/>
          </rPr>
          <t>Reserve alpha is an auditable proxy linking energy price and scarcity to reserve prices. Calibrated to be broadly consistent with reported Luzon reserve price bands and scarcity behavior.
Sources: https://www.iemop.ph/the-market/market-data/ ; industry assumption placeholder — replace with client calibration.</t>
        </r>
      </text>
    </comment>
    <comment ref="D19" authorId="0" shapeId="0" xr:uid="{00000000-0006-0000-0300-000041000000}">
      <text>
        <r>
          <rPr>
            <sz val="10"/>
            <rFont val="Arial"/>
            <family val="2"/>
          </rPr>
          <t>Reserve alpha is an auditable proxy linking energy price and scarcity to reserve prices. Calibrated to be broadly consistent with reported Luzon reserve price bands and scarcity behavior.
Sources: https://www.iemop.ph/the-market/market-data/ ; industry assumption placeholder — replace with client calibration.</t>
        </r>
      </text>
    </comment>
    <comment ref="E19" authorId="0" shapeId="0" xr:uid="{00000000-0006-0000-0300-000042000000}">
      <text>
        <r>
          <rPr>
            <sz val="10"/>
            <rFont val="Arial"/>
            <family val="2"/>
          </rPr>
          <t>Reserve alpha is an auditable proxy linking energy price and scarcity to reserve prices. Calibrated to be broadly consistent with reported Luzon reserve price bands and scarcity behavior.
Sources: https://www.iemop.ph/the-market/market-data/ ; industry assumption placeholder — replace with client calibration.</t>
        </r>
      </text>
    </comment>
    <comment ref="F19" authorId="0" shapeId="0" xr:uid="{00000000-0006-0000-0300-000043000000}">
      <text>
        <r>
          <rPr>
            <sz val="10"/>
            <rFont val="Arial"/>
            <family val="2"/>
          </rPr>
          <t>Reserve alpha is an auditable proxy linking energy price and scarcity to reserve prices. Calibrated to be broadly consistent with reported Luzon reserve price bands and scarcity behavior.
Sources: https://www.iemop.ph/the-market/market-data/ ; industry assumption placeholder — replace with client calibration.</t>
        </r>
      </text>
    </comment>
    <comment ref="A20" authorId="0" shapeId="0" xr:uid="{00000000-0006-0000-0300-000044000000}">
      <text>
        <r>
          <rPr>
            <sz val="10"/>
            <rFont val="Arial"/>
            <family val="2"/>
          </rPr>
          <t>Requirement source: MGEN RFP Module 1 and sample tables on pages 5–6.</t>
        </r>
      </text>
    </comment>
    <comment ref="C20" authorId="0" shapeId="0" xr:uid="{00000000-0006-0000-0300-000045000000}">
      <text>
        <r>
          <rPr>
            <sz val="10"/>
            <rFont val="Arial"/>
            <family val="2"/>
          </rPr>
          <t>Bad-debt multiplier placeholder for retail stress; replace with MGEN retail portfolio stress assumptions.
Placeholder – replace with Meralco/MGEN data.</t>
        </r>
      </text>
    </comment>
    <comment ref="D20" authorId="0" shapeId="0" xr:uid="{00000000-0006-0000-0300-000046000000}">
      <text>
        <r>
          <rPr>
            <sz val="10"/>
            <rFont val="Arial"/>
            <family val="2"/>
          </rPr>
          <t>Bad-debt multiplier placeholder for retail stress; replace with MGEN retail portfolio stress assumptions.
Placeholder – replace with Meralco/MGEN data.</t>
        </r>
      </text>
    </comment>
    <comment ref="E20" authorId="0" shapeId="0" xr:uid="{00000000-0006-0000-0300-000047000000}">
      <text>
        <r>
          <rPr>
            <sz val="10"/>
            <rFont val="Arial"/>
            <family val="2"/>
          </rPr>
          <t>Bad-debt multiplier placeholder for retail stress; replace with MGEN retail portfolio stress assumptions.
Placeholder – replace with Meralco/MGEN data.</t>
        </r>
      </text>
    </comment>
    <comment ref="F20" authorId="0" shapeId="0" xr:uid="{00000000-0006-0000-0300-000048000000}">
      <text>
        <r>
          <rPr>
            <sz val="10"/>
            <rFont val="Arial"/>
            <family val="2"/>
          </rPr>
          <t>Bad-debt multiplier placeholder for retail stress; replace with MGEN retail portfolio stress assumptions.
Placeholder – replace with Meralco/MGEN data.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5" authorId="0" shapeId="0" xr:uid="{00000000-0006-0000-0500-000001000000}">
      <text>
        <r>
          <rPr>
            <sz val="10"/>
            <rFont val="Arial"/>
            <family val="2"/>
          </rPr>
          <t>JKM plus shipping and regasification</t>
        </r>
      </text>
    </comment>
    <comment ref="C19" authorId="0" shapeId="0" xr:uid="{00000000-0006-0000-0500-000002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D19" authorId="0" shapeId="0" xr:uid="{00000000-0006-0000-0500-000003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E19" authorId="0" shapeId="0" xr:uid="{00000000-0006-0000-0500-000004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F19" authorId="0" shapeId="0" xr:uid="{00000000-0006-0000-0500-000005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C20" authorId="0" shapeId="0" xr:uid="{00000000-0006-0000-0500-000006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D20" authorId="0" shapeId="0" xr:uid="{00000000-0006-0000-0500-000007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E20" authorId="0" shapeId="0" xr:uid="{00000000-0006-0000-0500-000008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F20" authorId="0" shapeId="0" xr:uid="{00000000-0006-0000-0500-000009000000}">
      <text>
        <r>
          <rPr>
            <sz val="10"/>
            <rFont val="Arial"/>
            <family val="2"/>
          </rPr>
          <t>Placeholder – replace with Meralco/MGEN data. Client benchmark provided in chat: LNG contract benchmark is DES (Delivered Ex-Ship) to Batangas. JKM is used as the primary marker for spot/short-term LNG sensitivity. S&amp;P Global / Platts JKM definition (accessed 2026-03-08): https://www.spglobal.com/energy/en/pricing-benchmarks/assessments/lng/jkm-japan-korea-marker-gas-price-explained . Split basis/regas/delay to avoid double counting full shipping on top of a DES benchmark.</t>
        </r>
      </text>
    </comment>
    <comment ref="A22" authorId="0" shapeId="0" xr:uid="{00000000-0006-0000-0500-00000A000000}">
      <text>
        <r>
          <rPr>
            <sz val="10"/>
            <rFont val="Arial"/>
            <family val="2"/>
          </rPr>
          <t>Brent-based simplified oil peaker conversion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600-000001000000}">
      <text>
        <r>
          <rPr>
            <sz val="10"/>
            <rFont val="Arial"/>
            <family val="2"/>
          </rPr>
          <t>Illustrative plant-level placeholder. Replace with cluster-specific heat rates and availability.</t>
        </r>
      </text>
    </comment>
    <comment ref="C5" authorId="0" shapeId="0" xr:uid="{00000000-0006-0000-0600-000002000000}">
      <text>
        <r>
          <rPr>
            <sz val="10"/>
            <rFont val="Arial"/>
            <family val="2"/>
          </rPr>
          <t>Placeholder – replace with Meralco/MGEN plant data. Illustrative portfolio-level cluster capacity for proposal model only; no public source appropriate for client-specific capacity.</t>
        </r>
      </text>
    </comment>
    <comment ref="D5" authorId="0" shapeId="0" xr:uid="{00000000-0006-0000-0600-000003000000}">
      <text>
        <r>
          <rPr>
            <sz val="10"/>
            <rFont val="Arial"/>
            <family val="2"/>
          </rPr>
          <t>Placeholder – replace with Meralco/MGEN plant data. Generic thermal availability placeholder (base case) consistent with utility fleet planning ranges.</t>
        </r>
      </text>
    </comment>
    <comment ref="E5" authorId="0" shapeId="0" xr:uid="{00000000-0006-0000-0600-000004000000}">
      <text>
        <r>
          <rPr>
            <sz val="10"/>
            <rFont val="Arial"/>
            <family val="2"/>
          </rPr>
          <t>Placeholder – replace with Meralco/MGEN data. Default coal heat rate = 9.6 GJ/MWh; allowed proposal range 9.2–10.0 GJ/MWh for a generic HELE coal cluster, per user modeling instruction. Replace with Meralco unit heat-rate tests.</t>
        </r>
      </text>
    </comment>
    <comment ref="F5" authorId="0" shapeId="0" xr:uid="{00000000-0006-0000-0600-000005000000}">
      <text>
        <r>
          <rPr>
            <sz val="10"/>
            <rFont val="Arial"/>
            <family val="2"/>
          </rPr>
          <t>Placeholder – replace with Meralco/MGEN data. Client benchmark provided in chat: typical Philippine coal benchmark GAR 5000–5500, required for HELE efficiency and emission compliance in newer units. Conversion basis used in model: GJ/t = kcal/kg × 0.0041868. Replace with Meralco contracted coal specs / test reports.</t>
        </r>
      </text>
    </comment>
    <comment ref="G5" authorId="0" shapeId="0" xr:uid="{00000000-0006-0000-0600-000006000000}">
      <text>
        <r>
          <rPr>
            <sz val="10"/>
            <rFont val="Arial"/>
            <family val="2"/>
          </rPr>
          <t>Placeholder – replace with Meralco/MGEN plant data. Generic variable O&amp;M placeholder anchored to industry thermal plant benchmarking. Source anchor: https://atb.nrel.gov/electricity/2024/technologies</t>
        </r>
      </text>
    </comment>
    <comment ref="H5" authorId="0" shapeId="0" xr:uid="{00000000-0006-0000-0600-000007000000}">
      <text>
        <r>
          <rPr>
            <sz val="10"/>
            <rFont val="Arial"/>
            <family val="2"/>
          </rPr>
          <t>Placeholder – replace with Meralco/MGEN plant data. Illustrative dispatch level used for proposal stress-test examples.</t>
        </r>
      </text>
    </comment>
    <comment ref="J5" authorId="0" shapeId="0" xr:uid="{00000000-0006-0000-0600-000008000000}">
      <text>
        <r>
          <rPr>
            <sz val="10"/>
            <rFont val="Arial"/>
            <family val="2"/>
          </rPr>
          <t>Placeholder – replace with Meralco/MGEN data. Client benchmark provided in chat: typical Philippine coal benchmark GAR 5000–5500, required for HELE efficiency and emission compliance in newer units. Conversion basis used in model: GJ/t = kcal/kg × 0.0041868. Replace with Meralco contracted coal specs / test reports.</t>
        </r>
      </text>
    </comment>
    <comment ref="A6" authorId="0" shapeId="0" xr:uid="{00000000-0006-0000-0600-000009000000}">
      <text>
        <r>
          <rPr>
            <sz val="10"/>
            <rFont val="Arial"/>
            <family val="2"/>
          </rPr>
          <t>Illustrative plant-level placeholder. Replace with cluster-specific heat rates and availability.</t>
        </r>
      </text>
    </comment>
    <comment ref="C6" authorId="0" shapeId="0" xr:uid="{00000000-0006-0000-0600-00000A000000}">
      <text>
        <r>
          <rPr>
            <sz val="10"/>
            <rFont val="Arial"/>
            <family val="2"/>
          </rPr>
          <t>Placeholder – replace with Meralco/MGEN plant data. Illustrative portfolio-level cluster capacity for proposal model only; no public source appropriate for client-specific capacity.</t>
        </r>
      </text>
    </comment>
    <comment ref="D6" authorId="0" shapeId="0" xr:uid="{00000000-0006-0000-0600-00000B000000}">
      <text>
        <r>
          <rPr>
            <sz val="10"/>
            <rFont val="Arial"/>
            <family val="2"/>
          </rPr>
          <t>Placeholder – replace with Meralco/MGEN plant data. Generic thermal availability placeholder (base case) consistent with utility fleet planning ranges.</t>
        </r>
      </text>
    </comment>
    <comment ref="E6" authorId="0" shapeId="0" xr:uid="{00000000-0006-0000-0600-00000C000000}">
      <text>
        <r>
          <rPr>
            <sz val="10"/>
            <rFont val="Arial"/>
            <family val="2"/>
          </rPr>
          <t>Placeholder – replace with Meralco/MGEN data. Default CCGT heat rate = 7.2 GJ/MWh; allowed proposal range 6.5–8.0 GJ/MWh, per user modeling instruction. Replace with Meralco / First Gen plant heat-rate data.</t>
        </r>
      </text>
    </comment>
    <comment ref="G6" authorId="0" shapeId="0" xr:uid="{00000000-0006-0000-0600-00000D000000}">
      <text>
        <r>
          <rPr>
            <sz val="10"/>
            <rFont val="Arial"/>
            <family val="2"/>
          </rPr>
          <t>Placeholder – replace with Meralco/MGEN plant data. Generic variable O&amp;M placeholder anchored to industry thermal plant benchmarking. Source anchor: https://atb.nrel.gov/electricity/2024/technologies</t>
        </r>
      </text>
    </comment>
    <comment ref="H6" authorId="0" shapeId="0" xr:uid="{00000000-0006-0000-0600-00000E000000}">
      <text>
        <r>
          <rPr>
            <sz val="10"/>
            <rFont val="Arial"/>
            <family val="2"/>
          </rPr>
          <t>Placeholder – replace with Meralco/MGEN plant data. Illustrative dispatch level used for proposal stress-test examples.</t>
        </r>
      </text>
    </comment>
    <comment ref="A7" authorId="0" shapeId="0" xr:uid="{00000000-0006-0000-0600-00000F000000}">
      <text>
        <r>
          <rPr>
            <sz val="10"/>
            <rFont val="Arial"/>
            <family val="2"/>
          </rPr>
          <t>Illustrative plant-level placeholder. Replace with cluster-specific heat rates and availability.</t>
        </r>
      </text>
    </comment>
    <comment ref="C7" authorId="0" shapeId="0" xr:uid="{00000000-0006-0000-0600-000010000000}">
      <text>
        <r>
          <rPr>
            <sz val="10"/>
            <rFont val="Arial"/>
            <family val="2"/>
          </rPr>
          <t>Placeholder – replace with Meralco/MGEN plant data. Illustrative portfolio-level cluster capacity for proposal model only; no public source appropriate for client-specific capacity.</t>
        </r>
      </text>
    </comment>
    <comment ref="D7" authorId="0" shapeId="0" xr:uid="{00000000-0006-0000-0600-000011000000}">
      <text>
        <r>
          <rPr>
            <sz val="10"/>
            <rFont val="Arial"/>
            <family val="2"/>
          </rPr>
          <t>Placeholder – replace with Meralco/MGEN plant data. Generic thermal availability placeholder (base case) consistent with utility fleet planning ranges.</t>
        </r>
      </text>
    </comment>
    <comment ref="E7" authorId="0" shapeId="0" xr:uid="{00000000-0006-0000-0600-000012000000}">
      <text>
        <r>
          <rPr>
            <sz val="10"/>
            <rFont val="Arial"/>
            <family val="2"/>
          </rPr>
          <t>Placeholder – replace with Meralco/MGEN plant data. Generic heat-rate placeholder. Source anchor: NREL Annual Technology Baseline / technology benchmarking https://atb.nrel.gov/electricity/2024/technologies</t>
        </r>
      </text>
    </comment>
    <comment ref="G7" authorId="0" shapeId="0" xr:uid="{00000000-0006-0000-0600-000013000000}">
      <text>
        <r>
          <rPr>
            <sz val="10"/>
            <rFont val="Arial"/>
            <family val="2"/>
          </rPr>
          <t>Placeholder – replace with Meralco/MGEN plant data. Generic variable O&amp;M placeholder anchored to industry thermal plant benchmarking. Source anchor: https://atb.nrel.gov/electricity/2024/technologies</t>
        </r>
      </text>
    </comment>
    <comment ref="H7" authorId="0" shapeId="0" xr:uid="{00000000-0006-0000-0600-000014000000}">
      <text>
        <r>
          <rPr>
            <sz val="10"/>
            <rFont val="Arial"/>
            <family val="2"/>
          </rPr>
          <t>Placeholder – replace with Meralco/MGEN plant data. Illustrative dispatch level used for proposal stress-test examples.</t>
        </r>
      </text>
    </comment>
    <comment ref="C13" authorId="0" shapeId="0" xr:uid="{00000000-0006-0000-0600-000015000000}">
      <text>
        <r>
          <rPr>
            <sz val="10"/>
            <rFont val="Arial"/>
            <family val="2"/>
          </rPr>
          <t>Luzon dependable capacity placeholder from DOE 2024 Installed and Dependable Capacity report.
Source: https://prod-cms.doe.gov.ph/documents/d/guest/03_installed-and-dependable-capacity-pdf</t>
        </r>
      </text>
    </comment>
    <comment ref="D13" authorId="0" shapeId="0" xr:uid="{00000000-0006-0000-0600-000016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E13" authorId="0" shapeId="0" xr:uid="{00000000-0006-0000-0600-000017000000}">
      <text>
        <r>
          <rPr>
            <sz val="10"/>
            <rFont val="Arial"/>
            <family val="2"/>
          </rPr>
          <t>Linked formula to 02_Inputs_Base renewable block-shape calibration. Base shape factors are placeholders calibrated to NGCP planning anchors (~16% solar CF, ~30% wind CF) and should be validated with Meralco/MGEN historical WESM calibration. Source: https://www.ngcp.ph/Attachment-Uploads/DOE%20Approved%20Actual%20Weekly%20Power%20Outlook%20as%20of%20Dec%2031%2C%202024-2025-03-05-10-18-32.pdf</t>
        </r>
      </text>
    </comment>
    <comment ref="F13" authorId="0" shapeId="0" xr:uid="{00000000-0006-0000-0600-000018000000}">
      <text>
        <r>
          <rPr>
            <sz val="10"/>
            <rFont val="Arial"/>
            <family val="2"/>
          </rPr>
          <t>Linked formula to 02_Inputs_Base renewable block-shape calibration. Base shape factors are placeholders calibrated to NGCP planning anchors (~16% solar CF, ~30% wind CF) and should be validated with Meralco/MGEN historical WESM calibration. Source: https://www.ngcp.ph/Attachment-Uploads/DOE%20Approved%20Actual%20Weekly%20Power%20Outlook%20as%20of%20Dec%2031%2C%202024-2025-03-05-10-18-32.pdf</t>
        </r>
      </text>
    </comment>
    <comment ref="G13" authorId="0" shapeId="0" xr:uid="{00000000-0006-0000-0600-000019000000}">
      <text>
        <r>
          <rPr>
            <sz val="10"/>
            <rFont val="Arial"/>
            <family val="2"/>
          </rPr>
          <t>Linked formula to 02_Inputs_Base renewable block-shape calibration. Base shape factors are placeholders calibrated to NGCP planning anchors (~16% solar CF, ~30% wind CF) and should be validated with Meralco/MGEN historical WESM calibration. Source: https://www.ngcp.ph/Attachment-Uploads/DOE%20Approved%20Actual%20Weekly%20Power%20Outlook%20as%20of%20Dec%2031%2C%202024-2025-03-05-10-18-32.pdf</t>
        </r>
      </text>
    </comment>
    <comment ref="C14" authorId="0" shapeId="0" xr:uid="{00000000-0006-0000-0600-00001A000000}">
      <text>
        <r>
          <rPr>
            <sz val="10"/>
            <rFont val="Arial"/>
            <family val="2"/>
          </rPr>
          <t>Luzon dependable capacity placeholder from DOE 2024 Installed and Dependable Capacity report.
Source: https://prod-cms.doe.gov.ph/documents/d/guest/03_installed-and-dependable-capacity-pdf</t>
        </r>
      </text>
    </comment>
    <comment ref="D14" authorId="0" shapeId="0" xr:uid="{00000000-0006-0000-0600-00001B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E14" authorId="0" shapeId="0" xr:uid="{00000000-0006-0000-0600-00001C000000}">
      <text>
        <r>
          <rPr>
            <sz val="10"/>
            <color rgb="FF000000"/>
            <rFont val="Arial"/>
            <family val="2"/>
          </rPr>
          <t>Linked formula to 02_Inputs_Base renewable block-shape calibration. Base shape factors are placeholders calibrated to NGCP planning anchors (~16% solar CF, ~30% wind CF) and should be validated with Meralco/MGEN historical WESM calibration. Source: https://www.ngcp.ph/Attachment-Uploads/DOE%20Approved%20Actual%20Weekly%20Power%20Outlook%20as%20of%20Dec%2031%2C%202024-2025-03-05-10-18-32.pdf</t>
        </r>
      </text>
    </comment>
    <comment ref="F14" authorId="0" shapeId="0" xr:uid="{00000000-0006-0000-0600-00001D000000}">
      <text>
        <r>
          <rPr>
            <sz val="10"/>
            <rFont val="Arial"/>
            <family val="2"/>
          </rPr>
          <t>Linked formula to 02_Inputs_Base renewable block-shape calibration. Base shape factors are placeholders calibrated to NGCP planning anchors (~16% solar CF, ~30% wind CF) and should be validated with Meralco/MGEN historical WESM calibration. Source: https://www.ngcp.ph/Attachment-Uploads/DOE%20Approved%20Actual%20Weekly%20Power%20Outlook%20as%20of%20Dec%2031%2C%202024-2025-03-05-10-18-32.pdf</t>
        </r>
      </text>
    </comment>
    <comment ref="G14" authorId="0" shapeId="0" xr:uid="{00000000-0006-0000-0600-00001E000000}">
      <text>
        <r>
          <rPr>
            <sz val="10"/>
            <rFont val="Arial"/>
            <family val="2"/>
          </rPr>
          <t>Linked formula to 02_Inputs_Base renewable block-shape calibration. Base shape factors are placeholders calibrated to NGCP planning anchors (~16% solar CF, ~30% wind CF) and should be validated with Meralco/MGEN historical WESM calibration. Source: https://www.ngcp.ph/Attachment-Uploads/DOE%20Approved%20Actual%20Weekly%20Power%20Outlook%20as%20of%20Dec%2031%2C%202024-2025-03-05-10-18-32.pdf</t>
        </r>
      </text>
    </comment>
    <comment ref="C15" authorId="0" shapeId="0" xr:uid="{00000000-0006-0000-0600-00001F000000}">
      <text>
        <r>
          <rPr>
            <sz val="10"/>
            <rFont val="Arial"/>
            <family val="2"/>
          </rPr>
          <t>Luzon dependable capacity placeholder from DOE 2024 Installed and Dependable Capacity report.
Source: https://prod-cms.doe.gov.ph/documents/d/guest/03_installed-and-dependable-capacity-pdf</t>
        </r>
      </text>
    </comment>
    <comment ref="D15" authorId="0" shapeId="0" xr:uid="{00000000-0006-0000-0600-000020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E15" authorId="0" shapeId="0" xr:uid="{00000000-0006-0000-0600-000021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F15" authorId="0" shapeId="0" xr:uid="{00000000-0006-0000-0600-000022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G15" authorId="0" shapeId="0" xr:uid="{00000000-0006-0000-0600-000023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C16" authorId="0" shapeId="0" xr:uid="{00000000-0006-0000-0600-000024000000}">
      <text>
        <r>
          <rPr>
            <sz val="10"/>
            <rFont val="Arial"/>
            <family val="2"/>
          </rPr>
          <t>Luzon dependable capacity placeholder from DOE 2024 Installed and Dependable Capacity report.
Source: https://prod-cms.doe.gov.ph/documents/d/guest/03_installed-and-dependable-capacity-pdf</t>
        </r>
      </text>
    </comment>
    <comment ref="D16" authorId="0" shapeId="0" xr:uid="{00000000-0006-0000-0600-000025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E16" authorId="0" shapeId="0" xr:uid="{00000000-0006-0000-0600-000026000000}">
      <text>
        <r>
          <rPr>
            <sz val="10"/>
            <color rgb="FF000000"/>
            <rFont val="Arial"/>
            <family val="2"/>
          </rPr>
          <t xml:space="preserve">Industry assumption placeholder — replace with historical IEMOP / Meralco/MGEN calibration. Technical availability and block profile factors are stylized for proposal use.
</t>
        </r>
        <r>
          <rPr>
            <sz val="10"/>
            <color rgb="FF000000"/>
            <rFont val="Arial"/>
            <family val="2"/>
          </rPr>
          <t>Sources: https://www.iemop.ph/the-market/market-data/ ; https://icsc.ngo/wp-content/uploads/2024/04/2024_PowerOutlook_Briefer.pdf</t>
        </r>
      </text>
    </comment>
    <comment ref="F16" authorId="0" shapeId="0" xr:uid="{00000000-0006-0000-0600-000027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G16" authorId="0" shapeId="0" xr:uid="{00000000-0006-0000-0600-000028000000}">
      <text>
        <r>
          <rPr>
            <sz val="10"/>
            <color rgb="FF000000"/>
            <rFont val="Arial"/>
            <family val="2"/>
          </rPr>
          <t xml:space="preserve">Industry assumption placeholder — replace with historical IEMOP / Meralco/MGEN calibration. Technical availability and block profile factors are stylized for proposal use.
</t>
        </r>
        <r>
          <rPr>
            <sz val="10"/>
            <color rgb="FF000000"/>
            <rFont val="Arial"/>
            <family val="2"/>
          </rPr>
          <t>Sources: https://www.iemop.ph/the-market/market-data/ ; https://icsc.ngo/wp-content/uploads/2024/04/2024_PowerOutlook_Briefer.pdf</t>
        </r>
      </text>
    </comment>
    <comment ref="C17" authorId="0" shapeId="0" xr:uid="{00000000-0006-0000-0600-000029000000}">
      <text>
        <r>
          <rPr>
            <sz val="10"/>
            <rFont val="Arial"/>
            <family val="2"/>
          </rPr>
          <t>Luzon dependable capacity placeholder from DOE 2024 Installed and Dependable Capacity report.
Source: https://prod-cms.doe.gov.ph/documents/d/guest/03_installed-and-dependable-capacity-pdf</t>
        </r>
      </text>
    </comment>
    <comment ref="D17" authorId="0" shapeId="0" xr:uid="{00000000-0006-0000-0600-00002A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E17" authorId="0" shapeId="0" xr:uid="{00000000-0006-0000-0600-00002B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F17" authorId="0" shapeId="0" xr:uid="{00000000-0006-0000-0600-00002C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G17" authorId="0" shapeId="0" xr:uid="{00000000-0006-0000-0600-00002D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C18" authorId="0" shapeId="0" xr:uid="{00000000-0006-0000-0600-00002E000000}">
      <text>
        <r>
          <rPr>
            <sz val="10"/>
            <rFont val="Arial"/>
            <family val="2"/>
          </rPr>
          <t>Luzon dependable capacity placeholder from DOE 2024 Installed and Dependable Capacity report.
Source: https://prod-cms.doe.gov.ph/documents/d/guest/03_installed-and-dependable-capacity-pdf</t>
        </r>
      </text>
    </comment>
    <comment ref="D18" authorId="0" shapeId="0" xr:uid="{00000000-0006-0000-0600-00002F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E18" authorId="0" shapeId="0" xr:uid="{00000000-0006-0000-0600-000030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F18" authorId="0" shapeId="0" xr:uid="{00000000-0006-0000-0600-000031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G18" authorId="0" shapeId="0" xr:uid="{00000000-0006-0000-0600-000032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C19" authorId="0" shapeId="0" xr:uid="{00000000-0006-0000-0600-000033000000}">
      <text>
        <r>
          <rPr>
            <sz val="10"/>
            <rFont val="Arial"/>
            <family val="2"/>
          </rPr>
          <t>Luzon dependable capacity placeholder from DOE 2024 Installed and Dependable Capacity report.
Source: https://prod-cms.doe.gov.ph/documents/d/guest/03_installed-and-dependable-capacity-pdf</t>
        </r>
      </text>
    </comment>
    <comment ref="D19" authorId="0" shapeId="0" xr:uid="{00000000-0006-0000-0600-000034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E19" authorId="0" shapeId="0" xr:uid="{00000000-0006-0000-0600-000035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F19" authorId="0" shapeId="0" xr:uid="{00000000-0006-0000-0600-000036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G19" authorId="0" shapeId="0" xr:uid="{00000000-0006-0000-0600-000037000000}">
      <text>
        <r>
          <rPr>
            <sz val="10"/>
            <color rgb="FF000000"/>
            <rFont val="Arial"/>
            <family val="2"/>
          </rPr>
          <t xml:space="preserve">Industry assumption placeholder — replace with historical IEMOP / Meralco/MGEN calibration. Technical availability and block profile factors are stylized for proposal use.
</t>
        </r>
        <r>
          <rPr>
            <sz val="10"/>
            <color rgb="FF000000"/>
            <rFont val="Arial"/>
            <family val="2"/>
          </rPr>
          <t>Sources: https://www.iemop.ph/the-market/market-data/ ; https://icsc.ngo/wp-content/uploads/2024/04/2024_PowerOutlook_Briefer.pdf</t>
        </r>
      </text>
    </comment>
    <comment ref="C20" authorId="0" shapeId="0" xr:uid="{00000000-0006-0000-0600-000038000000}">
      <text>
        <r>
          <rPr>
            <sz val="10"/>
            <rFont val="Arial"/>
            <family val="2"/>
          </rPr>
          <t>Luzon dependable capacity placeholder from DOE 2024 Installed and Dependable Capacity report.
Source: https://prod-cms.doe.gov.ph/documents/d/guest/03_installed-and-dependable-capacity-pdf</t>
        </r>
      </text>
    </comment>
    <comment ref="D20" authorId="0" shapeId="0" xr:uid="{00000000-0006-0000-0600-000039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E20" authorId="0" shapeId="0" xr:uid="{00000000-0006-0000-0600-00003A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F20" authorId="0" shapeId="0" xr:uid="{00000000-0006-0000-0600-00003B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G20" authorId="0" shapeId="0" xr:uid="{00000000-0006-0000-0600-00003C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C21" authorId="0" shapeId="0" xr:uid="{00000000-0006-0000-0600-00003D000000}">
      <text>
        <r>
          <rPr>
            <sz val="10"/>
            <rFont val="Arial"/>
            <family val="2"/>
          </rPr>
          <t>Luzon dependable capacity placeholder from DOE 2024 Installed and Dependable Capacity report.
Source: https://prod-cms.doe.gov.ph/documents/d/guest/03_installed-and-dependable-capacity-pdf</t>
        </r>
      </text>
    </comment>
    <comment ref="D21" authorId="0" shapeId="0" xr:uid="{00000000-0006-0000-0600-00003E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E21" authorId="0" shapeId="0" xr:uid="{00000000-0006-0000-0600-00003F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F21" authorId="0" shapeId="0" xr:uid="{00000000-0006-0000-0600-000040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  <comment ref="G21" authorId="0" shapeId="0" xr:uid="{00000000-0006-0000-0600-000041000000}">
      <text>
        <r>
          <rPr>
            <sz val="10"/>
            <rFont val="Arial"/>
            <family val="2"/>
          </rPr>
          <t>Industry assumption placeholder — replace with historical IEMOP / Meralco/MGEN calibration. Technical availability and block profile factors are stylized for proposal use.
Sources: https://www.iemop.ph/the-market/market-data/ ; https://icsc.ngo/wp-content/uploads/2024/04/2024_PowerOutlook_Briefer.pdf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41" authorId="0" shapeId="0" xr:uid="{00000000-0006-0000-0700-000001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D41" authorId="0" shapeId="0" xr:uid="{00000000-0006-0000-0700-000002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E41" authorId="0" shapeId="0" xr:uid="{00000000-0006-0000-0700-000003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F41" authorId="0" shapeId="0" xr:uid="{00000000-0006-0000-0700-000004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C42" authorId="0" shapeId="0" xr:uid="{00000000-0006-0000-0700-000005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D42" authorId="0" shapeId="0" xr:uid="{00000000-0006-0000-0700-000006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E42" authorId="0" shapeId="0" xr:uid="{00000000-0006-0000-0700-000007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F42" authorId="0" shapeId="0" xr:uid="{00000000-0006-0000-0700-000008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C43" authorId="0" shapeId="0" xr:uid="{00000000-0006-0000-0700-000009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D43" authorId="0" shapeId="0" xr:uid="{00000000-0006-0000-0700-00000A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E43" authorId="0" shapeId="0" xr:uid="{00000000-0006-0000-0700-00000B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F43" authorId="0" shapeId="0" xr:uid="{00000000-0006-0000-0700-00000C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C44" authorId="0" shapeId="0" xr:uid="{00000000-0006-0000-0700-00000D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D44" authorId="0" shapeId="0" xr:uid="{00000000-0006-0000-0700-00000E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E44" authorId="0" shapeId="0" xr:uid="{00000000-0006-0000-0700-00000F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F44" authorId="0" shapeId="0" xr:uid="{00000000-0006-0000-0700-000010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C45" authorId="0" shapeId="0" xr:uid="{00000000-0006-0000-0700-000011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D45" authorId="0" shapeId="0" xr:uid="{00000000-0006-0000-0700-000012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E45" authorId="0" shapeId="0" xr:uid="{00000000-0006-0000-0700-000013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F45" authorId="0" shapeId="0" xr:uid="{00000000-0006-0000-0700-000014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C46" authorId="0" shapeId="0" xr:uid="{00000000-0006-0000-0700-000015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D46" authorId="0" shapeId="0" xr:uid="{00000000-0006-0000-0700-000016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E46" authorId="0" shapeId="0" xr:uid="{00000000-0006-0000-0700-000017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  <comment ref="F46" authorId="0" shapeId="0" xr:uid="{00000000-0006-0000-0700-000018000000}">
      <text>
        <r>
          <rPr>
            <sz val="10"/>
            <rFont val="Arial"/>
            <family val="2"/>
          </rPr>
          <t>Industry assumption placeholder for market-stack SRMC anchor; calibrate with historical WESM offer / price behavior.
Sources: https://www.iemop.ph/the-market/market-data/ ; Placeholder – refine with client calibration.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6" authorId="0" shapeId="0" xr:uid="{00000000-0006-0000-0900-000001000000}">
      <text>
        <r>
          <rPr>
            <sz val="10"/>
            <rFont val="Arial"/>
            <family val="2"/>
          </rPr>
          <t>Linked reserve alpha proxy from scenario sheet; calibrate with historical Luzon reserve market behavior.
Sources: https://www.iemop.ph/the-market/market-data/ ; proposal assumption placeholder.</t>
        </r>
      </text>
    </comment>
    <comment ref="D6" authorId="0" shapeId="0" xr:uid="{00000000-0006-0000-0900-000002000000}">
      <text>
        <r>
          <rPr>
            <sz val="10"/>
            <rFont val="Arial"/>
            <family val="2"/>
          </rPr>
          <t>Linked reserve alpha proxy from scenario sheet; calibrate with historical Luzon reserve market behavior.
Sources: https://www.iemop.ph/the-market/market-data/ ; proposal assumption placeholder.</t>
        </r>
      </text>
    </comment>
    <comment ref="E6" authorId="0" shapeId="0" xr:uid="{00000000-0006-0000-0900-000003000000}">
      <text>
        <r>
          <rPr>
            <sz val="10"/>
            <rFont val="Arial"/>
            <family val="2"/>
          </rPr>
          <t>Linked reserve alpha proxy from scenario sheet; calibrate with historical Luzon reserve market behavior.
Sources: https://www.iemop.ph/the-market/market-data/ ; proposal assumption placeholder.</t>
        </r>
      </text>
    </comment>
    <comment ref="F6" authorId="0" shapeId="0" xr:uid="{00000000-0006-0000-0900-000004000000}">
      <text>
        <r>
          <rPr>
            <sz val="10"/>
            <rFont val="Arial"/>
            <family val="2"/>
          </rPr>
          <t>Linked reserve alpha proxy from scenario sheet; calibrate with historical Luzon reserve market behavior.
Sources: https://www.iemop.ph/the-market/market-data/ ; proposal assumption placeholder.</t>
        </r>
      </text>
    </comment>
    <comment ref="C8" authorId="0" shapeId="0" xr:uid="{00000000-0006-0000-0900-000005000000}">
      <text>
        <r>
          <rPr>
            <sz val="10"/>
            <rFont val="Arial"/>
            <family val="2"/>
          </rPr>
          <t>Linked reserve-awarded volume placeholder; replace with Meralco/MGEN reserve market participation data.
Placeholder – replace with Meralco/MGEN plant data.</t>
        </r>
      </text>
    </comment>
    <comment ref="D8" authorId="0" shapeId="0" xr:uid="{00000000-0006-0000-0900-000006000000}">
      <text>
        <r>
          <rPr>
            <sz val="10"/>
            <rFont val="Arial"/>
            <family val="2"/>
          </rPr>
          <t>Linked reserve-awarded volume placeholder; replace with Meralco/MGEN reserve market participation data.
Placeholder – replace with Meralco/MGEN plant data.</t>
        </r>
      </text>
    </comment>
    <comment ref="E8" authorId="0" shapeId="0" xr:uid="{00000000-0006-0000-0900-000007000000}">
      <text>
        <r>
          <rPr>
            <sz val="10"/>
            <rFont val="Arial"/>
            <family val="2"/>
          </rPr>
          <t>Linked reserve-awarded volume placeholder; replace with Meralco/MGEN reserve market participation data.
Placeholder – replace with Meralco/MGEN plant data.</t>
        </r>
      </text>
    </comment>
    <comment ref="F8" authorId="0" shapeId="0" xr:uid="{00000000-0006-0000-0900-000008000000}">
      <text>
        <r>
          <rPr>
            <sz val="10"/>
            <rFont val="Arial"/>
            <family val="2"/>
          </rPr>
          <t>Linked reserve-awarded volume placeholder; replace with Meralco/MGEN reserve market participation data.
Placeholder – replace with Meralco/MGEN plant data.</t>
        </r>
      </text>
    </comment>
    <comment ref="C10" authorId="0" shapeId="0" xr:uid="{00000000-0006-0000-0900-000009000000}">
      <text>
        <r>
          <rPr>
            <sz val="10"/>
            <rFont val="Arial"/>
            <family val="2"/>
          </rPr>
          <t>Placeholder reserve requirement proxy based on reported Luzon reserve requirements in public reserve market reporting; replace with product-level reserve requirement and portfolio participation assumptions.
Source anchor: https://www.iemop.ph/the-market/market-data/</t>
        </r>
      </text>
    </comment>
    <comment ref="D10" authorId="0" shapeId="0" xr:uid="{00000000-0006-0000-0900-00000A000000}">
      <text>
        <r>
          <rPr>
            <sz val="10"/>
            <rFont val="Arial"/>
            <family val="2"/>
          </rPr>
          <t>Placeholder reserve requirement proxy based on reported Luzon reserve requirements in public reserve market reporting; replace with product-level reserve requirement and portfolio participation assumptions.
Source anchor: https://www.iemop.ph/the-market/market-data/</t>
        </r>
      </text>
    </comment>
    <comment ref="E10" authorId="0" shapeId="0" xr:uid="{00000000-0006-0000-0900-00000B000000}">
      <text>
        <r>
          <rPr>
            <sz val="10"/>
            <rFont val="Arial"/>
            <family val="2"/>
          </rPr>
          <t>Placeholder reserve requirement proxy based on reported Luzon reserve requirements in public reserve market reporting; replace with product-level reserve requirement and portfolio participation assumptions.
Source anchor: https://www.iemop.ph/the-market/market-data/</t>
        </r>
      </text>
    </comment>
    <comment ref="F10" authorId="0" shapeId="0" xr:uid="{00000000-0006-0000-0900-00000C000000}">
      <text>
        <r>
          <rPr>
            <sz val="10"/>
            <rFont val="Arial"/>
            <family val="2"/>
          </rPr>
          <t>Placeholder reserve requirement proxy based on reported Luzon reserve requirements in public reserve market reporting; replace with product-level reserve requirement and portfolio participation assumptions.
Source anchor: https://www.iemop.ph/the-market/market-data/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B00-000001000000}">
      <text>
        <r>
          <rPr>
            <sz val="10"/>
            <rFont val="Arial"/>
            <family val="2"/>
          </rPr>
          <t>Illustrative placeholder. Replace with actual contract terms.</t>
        </r>
      </text>
    </comment>
    <comment ref="B4" authorId="0" shapeId="0" xr:uid="{00000000-0006-0000-0B00-000002000000}">
      <text>
        <r>
          <rPr>
            <sz val="10"/>
            <rFont val="Arial"/>
            <family val="2"/>
          </rPr>
          <t>Placeholder – replace with Meralco/MGEN contract book data. Illustrative BCQ exposure volume; no public source appropriate for client-specific contract volumes.</t>
        </r>
      </text>
    </comment>
    <comment ref="A5" authorId="0" shapeId="0" xr:uid="{00000000-0006-0000-0B00-000003000000}">
      <text>
        <r>
          <rPr>
            <sz val="10"/>
            <rFont val="Arial"/>
            <family val="2"/>
          </rPr>
          <t>Illustrative placeholder. Replace with actual contract terms.</t>
        </r>
      </text>
    </comment>
    <comment ref="B5" authorId="0" shapeId="0" xr:uid="{00000000-0006-0000-0B00-000004000000}">
      <text>
        <r>
          <rPr>
            <sz val="10"/>
            <rFont val="Arial"/>
            <family val="2"/>
          </rPr>
          <t>Placeholder – replace with Meralco/MGEN contract book data. Illustrative BCQ sell price; no public source appropriate for client-specific contract prices.</t>
        </r>
      </text>
    </comment>
    <comment ref="A6" authorId="0" shapeId="0" xr:uid="{00000000-0006-0000-0B00-000005000000}">
      <text>
        <r>
          <rPr>
            <sz val="10"/>
            <rFont val="Arial"/>
            <family val="2"/>
          </rPr>
          <t>Illustrative placeholder. Replace with actual contract terms.</t>
        </r>
      </text>
    </comment>
    <comment ref="B6" authorId="0" shapeId="0" xr:uid="{00000000-0006-0000-0B00-000006000000}">
      <text>
        <r>
          <rPr>
            <sz val="10"/>
            <rFont val="Arial"/>
            <family val="2"/>
          </rPr>
          <t>Placeholder – replace with Meralco/MGEN contract book data. Illustrative merchant spot sales volume.</t>
        </r>
      </text>
    </comment>
    <comment ref="A7" authorId="0" shapeId="0" xr:uid="{00000000-0006-0000-0B00-000007000000}">
      <text>
        <r>
          <rPr>
            <sz val="10"/>
            <rFont val="Arial"/>
            <family val="2"/>
          </rPr>
          <t>Illustrative placeholder. Replace with actual contract terms.</t>
        </r>
      </text>
    </comment>
    <comment ref="B7" authorId="0" shapeId="0" xr:uid="{00000000-0006-0000-0B00-000008000000}">
      <text>
        <r>
          <rPr>
            <sz val="10"/>
            <rFont val="Arial"/>
            <family val="2"/>
          </rPr>
          <t>Placeholder – replace with Meralco/MGEN contract book data. Illustrative imbalance volume assumption.</t>
        </r>
      </text>
    </comment>
    <comment ref="A8" authorId="0" shapeId="0" xr:uid="{00000000-0006-0000-0B00-000009000000}">
      <text>
        <r>
          <rPr>
            <sz val="10"/>
            <rFont val="Arial"/>
            <family val="2"/>
          </rPr>
          <t>Illustrative placeholder. Replace with actual contract terms.</t>
        </r>
      </text>
    </comment>
    <comment ref="B8" authorId="0" shapeId="0" xr:uid="{00000000-0006-0000-0B00-00000A000000}">
      <text>
        <r>
          <rPr>
            <sz val="10"/>
            <rFont val="Arial"/>
            <family val="2"/>
          </rPr>
          <t>Placeholder – replace with Meralco/MGEN contract book data. Illustrative reference contract price for imbalance.</t>
        </r>
      </text>
    </comment>
    <comment ref="A9" authorId="0" shapeId="0" xr:uid="{00000000-0006-0000-0B00-00000B000000}">
      <text>
        <r>
          <rPr>
            <sz val="10"/>
            <rFont val="Arial"/>
            <family val="2"/>
          </rPr>
          <t>Illustrative placeholder. Replace with actual contract terms.</t>
        </r>
      </text>
    </comment>
    <comment ref="B9" authorId="0" shapeId="0" xr:uid="{00000000-0006-0000-0B00-00000C000000}">
      <text>
        <r>
          <rPr>
            <sz val="10"/>
            <rFont val="Arial"/>
            <family val="2"/>
          </rPr>
          <t>Placeholder repricing beta for proposal use; replace with actual contract repricing mechanics.</t>
        </r>
      </text>
    </comment>
    <comment ref="A10" authorId="0" shapeId="0" xr:uid="{00000000-0006-0000-0B00-00000D000000}">
      <text>
        <r>
          <rPr>
            <sz val="10"/>
            <rFont val="Arial"/>
            <family val="2"/>
          </rPr>
          <t>Illustrative placeholder. Replace with actual contract terms.</t>
        </r>
      </text>
    </comment>
    <comment ref="B10" authorId="0" shapeId="0" xr:uid="{00000000-0006-0000-0B00-00000E000000}">
      <text>
        <r>
          <rPr>
            <sz val="10"/>
            <rFont val="Arial"/>
            <family val="2"/>
          </rPr>
          <t>Placeholder – replace with Meralco/MGEN operating cost data.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E00-000001000000}">
      <text>
        <r>
          <rPr>
            <sz val="10"/>
            <rFont val="Arial"/>
            <family val="2"/>
          </rPr>
          <t>Illustrative segment placeholder. Replace with actual retail portfolio segmentation.</t>
        </r>
      </text>
    </comment>
    <comment ref="B5" authorId="0" shapeId="0" xr:uid="{00000000-0006-0000-0E00-000002000000}">
      <text>
        <r>
          <rPr>
            <sz val="10"/>
            <rFont val="Arial"/>
            <family val="2"/>
          </rPr>
          <t>Placeholder – replace with Meralco/MGEN retail portfolio volumes. No public source appropriate for client-specific portfolio mix.</t>
        </r>
      </text>
    </comment>
    <comment ref="C5" authorId="0" shapeId="0" xr:uid="{00000000-0006-0000-0E00-000003000000}">
      <text>
        <r>
          <rPr>
            <sz val="10"/>
            <rFont val="Arial"/>
            <family val="2"/>
          </rPr>
          <t>Placeholder – replace with Meralco/MGEN tariff / contract pricing data.</t>
        </r>
      </text>
    </comment>
    <comment ref="D5" authorId="0" shapeId="0" xr:uid="{00000000-0006-0000-0E00-000004000000}">
      <text>
        <r>
          <rPr>
            <sz val="10"/>
            <rFont val="Arial"/>
            <family val="2"/>
          </rPr>
          <t>Procurement linkage multiplier placeholder; calibrate with portfolio sourcing mix and WESM pass-through.</t>
        </r>
      </text>
    </comment>
    <comment ref="E5" authorId="0" shapeId="0" xr:uid="{00000000-0006-0000-0E00-000005000000}">
      <text>
        <r>
          <rPr>
            <sz val="10"/>
            <rFont val="Arial"/>
            <family val="2"/>
          </rPr>
          <t>Pass-through placeholder; replace with contract/regulatory mechanics.</t>
        </r>
      </text>
    </comment>
    <comment ref="F5" authorId="0" shapeId="0" xr:uid="{00000000-0006-0000-0E00-000006000000}">
      <text>
        <r>
          <rPr>
            <sz val="10"/>
            <rFont val="Arial"/>
            <family val="2"/>
          </rPr>
          <t>Base bad-debt placeholder; replace with Meralco/MGEN actual collections / default data.</t>
        </r>
      </text>
    </comment>
    <comment ref="G5" authorId="0" shapeId="0" xr:uid="{00000000-0006-0000-0E00-000007000000}">
      <text>
        <r>
          <rPr>
            <sz val="10"/>
            <rFont val="Arial"/>
            <family val="2"/>
          </rPr>
          <t>Scenario 1 attrition placeholder; replace with portfolio-specific demand response.</t>
        </r>
      </text>
    </comment>
    <comment ref="H5" authorId="0" shapeId="0" xr:uid="{00000000-0006-0000-0E00-000008000000}">
      <text>
        <r>
          <rPr>
            <sz val="10"/>
            <rFont val="Arial"/>
            <family val="2"/>
          </rPr>
          <t>Scenario 2 attrition placeholder; replace with portfolio-specific demand response.</t>
        </r>
      </text>
    </comment>
    <comment ref="I5" authorId="0" shapeId="0" xr:uid="{00000000-0006-0000-0E00-000009000000}">
      <text>
        <r>
          <rPr>
            <sz val="10"/>
            <rFont val="Arial"/>
            <family val="2"/>
          </rPr>
          <t>Scenario 3 attrition placeholder; replace with portfolio-specific demand response.</t>
        </r>
      </text>
    </comment>
    <comment ref="J5" authorId="0" shapeId="0" xr:uid="{00000000-0006-0000-0E00-00000A000000}">
      <text>
        <r>
          <rPr>
            <sz val="10"/>
            <rFont val="Arial"/>
            <family val="2"/>
          </rPr>
          <t>Opex placeholder; replace with Meralco/MGEN retail cost base.</t>
        </r>
      </text>
    </comment>
    <comment ref="A6" authorId="0" shapeId="0" xr:uid="{00000000-0006-0000-0E00-00000B000000}">
      <text>
        <r>
          <rPr>
            <sz val="10"/>
            <rFont val="Arial"/>
            <family val="2"/>
          </rPr>
          <t>Illustrative segment placeholder. Replace with actual retail portfolio segmentation.</t>
        </r>
      </text>
    </comment>
    <comment ref="B6" authorId="0" shapeId="0" xr:uid="{00000000-0006-0000-0E00-00000C000000}">
      <text>
        <r>
          <rPr>
            <sz val="10"/>
            <rFont val="Arial"/>
            <family val="2"/>
          </rPr>
          <t>Placeholder – replace with Meralco/MGEN retail portfolio volumes. No public source appropriate for client-specific portfolio mix.</t>
        </r>
      </text>
    </comment>
    <comment ref="C6" authorId="0" shapeId="0" xr:uid="{00000000-0006-0000-0E00-00000D000000}">
      <text>
        <r>
          <rPr>
            <sz val="10"/>
            <rFont val="Arial"/>
            <family val="2"/>
          </rPr>
          <t>Placeholder – replace with Meralco/MGEN tariff / contract pricing data.</t>
        </r>
      </text>
    </comment>
    <comment ref="D6" authorId="0" shapeId="0" xr:uid="{00000000-0006-0000-0E00-00000E000000}">
      <text>
        <r>
          <rPr>
            <sz val="10"/>
            <rFont val="Arial"/>
            <family val="2"/>
          </rPr>
          <t>Procurement linkage multiplier placeholder; calibrate with portfolio sourcing mix and WESM pass-through.</t>
        </r>
      </text>
    </comment>
    <comment ref="E6" authorId="0" shapeId="0" xr:uid="{00000000-0006-0000-0E00-00000F000000}">
      <text>
        <r>
          <rPr>
            <sz val="10"/>
            <rFont val="Arial"/>
            <family val="2"/>
          </rPr>
          <t>Pass-through placeholder; replace with contract/regulatory mechanics.</t>
        </r>
      </text>
    </comment>
    <comment ref="F6" authorId="0" shapeId="0" xr:uid="{00000000-0006-0000-0E00-000010000000}">
      <text>
        <r>
          <rPr>
            <sz val="10"/>
            <rFont val="Arial"/>
            <family val="2"/>
          </rPr>
          <t>Base bad-debt placeholder; replace with Meralco/MGEN actual collections / default data.</t>
        </r>
      </text>
    </comment>
    <comment ref="G6" authorId="0" shapeId="0" xr:uid="{00000000-0006-0000-0E00-000011000000}">
      <text>
        <r>
          <rPr>
            <sz val="10"/>
            <rFont val="Arial"/>
            <family val="2"/>
          </rPr>
          <t>Scenario 1 attrition placeholder; replace with portfolio-specific demand response.</t>
        </r>
      </text>
    </comment>
    <comment ref="H6" authorId="0" shapeId="0" xr:uid="{00000000-0006-0000-0E00-000012000000}">
      <text>
        <r>
          <rPr>
            <sz val="10"/>
            <rFont val="Arial"/>
            <family val="2"/>
          </rPr>
          <t>Scenario 2 attrition placeholder; replace with portfolio-specific demand response.</t>
        </r>
      </text>
    </comment>
    <comment ref="I6" authorId="0" shapeId="0" xr:uid="{00000000-0006-0000-0E00-000013000000}">
      <text>
        <r>
          <rPr>
            <sz val="10"/>
            <rFont val="Arial"/>
            <family val="2"/>
          </rPr>
          <t>Scenario 3 attrition placeholder; replace with portfolio-specific demand response.</t>
        </r>
      </text>
    </comment>
    <comment ref="J6" authorId="0" shapeId="0" xr:uid="{00000000-0006-0000-0E00-000014000000}">
      <text>
        <r>
          <rPr>
            <sz val="10"/>
            <rFont val="Arial"/>
            <family val="2"/>
          </rPr>
          <t>Opex placeholder; replace with Meralco/MGEN retail cost base.</t>
        </r>
      </text>
    </comment>
    <comment ref="A7" authorId="0" shapeId="0" xr:uid="{00000000-0006-0000-0E00-000015000000}">
      <text>
        <r>
          <rPr>
            <sz val="10"/>
            <rFont val="Arial"/>
            <family val="2"/>
          </rPr>
          <t>Illustrative segment placeholder. Replace with actual retail portfolio segmentation.</t>
        </r>
      </text>
    </comment>
    <comment ref="B7" authorId="0" shapeId="0" xr:uid="{00000000-0006-0000-0E00-000016000000}">
      <text>
        <r>
          <rPr>
            <sz val="10"/>
            <rFont val="Arial"/>
            <family val="2"/>
          </rPr>
          <t>Placeholder – replace with Meralco/MGEN retail portfolio volumes. No public source appropriate for client-specific portfolio mix.</t>
        </r>
      </text>
    </comment>
    <comment ref="C7" authorId="0" shapeId="0" xr:uid="{00000000-0006-0000-0E00-000017000000}">
      <text>
        <r>
          <rPr>
            <sz val="10"/>
            <rFont val="Arial"/>
            <family val="2"/>
          </rPr>
          <t>Placeholder – replace with Meralco/MGEN tariff / contract pricing data.</t>
        </r>
      </text>
    </comment>
    <comment ref="D7" authorId="0" shapeId="0" xr:uid="{00000000-0006-0000-0E00-000018000000}">
      <text>
        <r>
          <rPr>
            <sz val="10"/>
            <rFont val="Arial"/>
            <family val="2"/>
          </rPr>
          <t>Procurement linkage multiplier placeholder; calibrate with portfolio sourcing mix and WESM pass-through.</t>
        </r>
      </text>
    </comment>
    <comment ref="E7" authorId="0" shapeId="0" xr:uid="{00000000-0006-0000-0E00-000019000000}">
      <text>
        <r>
          <rPr>
            <sz val="10"/>
            <rFont val="Arial"/>
            <family val="2"/>
          </rPr>
          <t>Pass-through placeholder; replace with contract/regulatory mechanics.</t>
        </r>
      </text>
    </comment>
    <comment ref="F7" authorId="0" shapeId="0" xr:uid="{00000000-0006-0000-0E00-00001A000000}">
      <text>
        <r>
          <rPr>
            <sz val="10"/>
            <rFont val="Arial"/>
            <family val="2"/>
          </rPr>
          <t>Base bad-debt placeholder; replace with Meralco/MGEN actual collections / default data.</t>
        </r>
      </text>
    </comment>
    <comment ref="G7" authorId="0" shapeId="0" xr:uid="{00000000-0006-0000-0E00-00001B000000}">
      <text>
        <r>
          <rPr>
            <sz val="10"/>
            <rFont val="Arial"/>
            <family val="2"/>
          </rPr>
          <t>Scenario 1 attrition placeholder; replace with portfolio-specific demand response.</t>
        </r>
      </text>
    </comment>
    <comment ref="H7" authorId="0" shapeId="0" xr:uid="{00000000-0006-0000-0E00-00001C000000}">
      <text>
        <r>
          <rPr>
            <sz val="10"/>
            <rFont val="Arial"/>
            <family val="2"/>
          </rPr>
          <t>Scenario 2 attrition placeholder; replace with portfolio-specific demand response.</t>
        </r>
      </text>
    </comment>
    <comment ref="I7" authorId="0" shapeId="0" xr:uid="{00000000-0006-0000-0E00-00001D000000}">
      <text>
        <r>
          <rPr>
            <sz val="10"/>
            <rFont val="Arial"/>
            <family val="2"/>
          </rPr>
          <t>Scenario 3 attrition placeholder; replace with portfolio-specific demand response.</t>
        </r>
      </text>
    </comment>
    <comment ref="J7" authorId="0" shapeId="0" xr:uid="{00000000-0006-0000-0E00-00001E000000}">
      <text>
        <r>
          <rPr>
            <sz val="10"/>
            <rFont val="Arial"/>
            <family val="2"/>
          </rPr>
          <t>Opex placeholder; replace with Meralco/MGEN retail cost base.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1000-000001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4" authorId="0" shapeId="0" xr:uid="{00000000-0006-0000-1000-000002000000}">
      <text>
        <r>
          <rPr>
            <sz val="10"/>
            <rFont val="Arial"/>
            <family val="2"/>
          </rPr>
          <t>Placeholder inventory assumption; replace with Meralco/MGEN coal procurement and stock policy.</t>
        </r>
      </text>
    </comment>
    <comment ref="A5" authorId="0" shapeId="0" xr:uid="{00000000-0006-0000-1000-000003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5" authorId="0" shapeId="0" xr:uid="{00000000-0006-0000-1000-000004000000}">
      <text>
        <r>
          <rPr>
            <sz val="10"/>
            <rFont val="Arial"/>
            <family val="2"/>
          </rPr>
          <t>Placeholder working-stock assumption; replace with Meralco/MGEN LNG/gas inventory policy.</t>
        </r>
      </text>
    </comment>
    <comment ref="A6" authorId="0" shapeId="0" xr:uid="{00000000-0006-0000-1000-000005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6" authorId="0" shapeId="0" xr:uid="{00000000-0006-0000-1000-000006000000}">
      <text>
        <r>
          <rPr>
            <sz val="10"/>
            <rFont val="Arial"/>
            <family val="2"/>
          </rPr>
          <t>Placeholder oil stock assumption; replace with Meralco/MGEN oil inventory policy.</t>
        </r>
      </text>
    </comment>
    <comment ref="A7" authorId="0" shapeId="0" xr:uid="{00000000-0006-0000-1000-000007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7" authorId="0" shapeId="0" xr:uid="{00000000-0006-0000-1000-000008000000}">
      <text>
        <r>
          <rPr>
            <sz val="10"/>
            <rFont val="Arial"/>
            <family val="2"/>
          </rPr>
          <t>Placeholder payment terms; replace with actual supplier terms.</t>
        </r>
      </text>
    </comment>
    <comment ref="A8" authorId="0" shapeId="0" xr:uid="{00000000-0006-0000-1000-000009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8" authorId="0" shapeId="0" xr:uid="{00000000-0006-0000-1000-00000A000000}">
      <text>
        <r>
          <rPr>
            <sz val="10"/>
            <rFont val="Arial"/>
            <family val="2"/>
          </rPr>
          <t>Placeholder – replace with Meralco/MGEN data. Updated to keep working-capital outputs realistic under a DES LNG structure and short-dated liquid-fuel procurement terms. For LNG, effective payables can be near at-sight / LC-backed; for oil, short-dated terms are used as a proposal placeholder. Replace with actual supplier payment terms.</t>
        </r>
      </text>
    </comment>
    <comment ref="A9" authorId="0" shapeId="0" xr:uid="{00000000-0006-0000-1000-00000B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9" authorId="0" shapeId="0" xr:uid="{00000000-0006-0000-1000-00000C000000}">
      <text>
        <r>
          <rPr>
            <sz val="10"/>
            <rFont val="Arial"/>
            <family val="2"/>
          </rPr>
          <t>Placeholder – replace with Meralco/MGEN data. Updated to keep working-capital outputs realistic under a DES LNG structure and short-dated liquid-fuel procurement terms. For LNG, effective payables can be near at-sight / LC-backed; for oil, short-dated terms are used as a proposal placeholder. Replace with actual supplier payment terms.</t>
        </r>
      </text>
    </comment>
    <comment ref="A10" authorId="0" shapeId="0" xr:uid="{00000000-0006-0000-1000-00000D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0" authorId="0" shapeId="0" xr:uid="{00000000-0006-0000-1000-00000E000000}">
      <text>
        <r>
          <rPr>
            <sz val="10"/>
            <rFont val="Arial"/>
            <family val="2"/>
          </rPr>
          <t>LC margin placeholder; replace with bank / supplier collateral terms.</t>
        </r>
      </text>
    </comment>
    <comment ref="A11" authorId="0" shapeId="0" xr:uid="{00000000-0006-0000-1000-00000F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1" authorId="0" shapeId="0" xr:uid="{00000000-0006-0000-1000-000010000000}">
      <text>
        <r>
          <rPr>
            <sz val="10"/>
            <rFont val="Arial"/>
            <family val="2"/>
          </rPr>
          <t>30-day LC margin placeholder; replace with bank / supplier collateral terms under stress.</t>
        </r>
      </text>
    </comment>
    <comment ref="A12" authorId="0" shapeId="0" xr:uid="{00000000-0006-0000-1000-000011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2" authorId="0" shapeId="0" xr:uid="{00000000-0006-0000-1000-000012000000}">
      <text>
        <r>
          <rPr>
            <sz val="10"/>
            <rFont val="Arial"/>
            <family val="2"/>
          </rPr>
          <t>90-day LC margin placeholder; replace with bank / supplier collateral terms under stress.</t>
        </r>
      </text>
    </comment>
    <comment ref="A13" authorId="0" shapeId="0" xr:uid="{00000000-0006-0000-1000-000013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3" authorId="0" shapeId="0" xr:uid="{00000000-0006-0000-1000-000014000000}">
      <text>
        <r>
          <rPr>
            <sz val="10"/>
            <rFont val="Arial"/>
            <family val="2"/>
          </rPr>
          <t>180-day LC margin placeholder; replace with bank / supplier collateral terms under stress.</t>
        </r>
      </text>
    </comment>
    <comment ref="A14" authorId="0" shapeId="0" xr:uid="{00000000-0006-0000-1000-000015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4" authorId="0" shapeId="0" xr:uid="{00000000-0006-0000-1000-000016000000}">
      <text>
        <r>
          <rPr>
            <sz val="10"/>
            <rFont val="Arial"/>
            <family val="2"/>
          </rPr>
          <t>Placeholder starting cash; replace with client treasury data.</t>
        </r>
      </text>
    </comment>
    <comment ref="A15" authorId="0" shapeId="0" xr:uid="{00000000-0006-0000-1000-000017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5" authorId="0" shapeId="0" xr:uid="{00000000-0006-0000-1000-000018000000}">
      <text>
        <r>
          <rPr>
            <sz val="10"/>
            <rFont val="Arial"/>
            <family val="2"/>
          </rPr>
          <t>Placeholder undrawn facilities; replace with client treasury data.</t>
        </r>
      </text>
    </comment>
    <comment ref="A16" authorId="0" shapeId="0" xr:uid="{00000000-0006-0000-1000-000019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6" authorId="0" shapeId="0" xr:uid="{00000000-0006-0000-1000-00001A000000}">
      <text>
        <r>
          <rPr>
            <sz val="10"/>
            <rFont val="Arial"/>
            <family val="2"/>
          </rPr>
          <t>Placeholder minimum cash buffer; replace with board-approved liquidity buffer.</t>
        </r>
      </text>
    </comment>
    <comment ref="A17" authorId="0" shapeId="0" xr:uid="{00000000-0006-0000-1000-00001B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7" authorId="0" shapeId="0" xr:uid="{00000000-0006-0000-1000-00001C000000}">
      <text>
        <r>
          <rPr>
            <sz val="10"/>
            <rFont val="Arial"/>
            <family val="2"/>
          </rPr>
          <t>Placeholder debt service; replace with treasury forecast.</t>
        </r>
      </text>
    </comment>
    <comment ref="A18" authorId="0" shapeId="0" xr:uid="{00000000-0006-0000-1000-00001D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8" authorId="0" shapeId="0" xr:uid="{00000000-0006-0000-1000-00001E000000}">
      <text>
        <r>
          <rPr>
            <sz val="10"/>
            <rFont val="Arial"/>
            <family val="2"/>
          </rPr>
          <t>Placeholder net debt; replace with actual net debt.</t>
        </r>
      </text>
    </comment>
    <comment ref="A19" authorId="0" shapeId="0" xr:uid="{00000000-0006-0000-1000-00001F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19" authorId="0" shapeId="0" xr:uid="{00000000-0006-0000-1000-000020000000}">
      <text>
        <r>
          <rPr>
            <sz val="10"/>
            <rFont val="Arial"/>
            <family val="2"/>
          </rPr>
          <t>Placeholder annual EBITDA; replace with finance baseline.</t>
        </r>
      </text>
    </comment>
    <comment ref="A20" authorId="0" shapeId="0" xr:uid="{00000000-0006-0000-1000-000021000000}">
      <text>
        <r>
          <rPr>
            <sz val="10"/>
            <rFont val="Arial"/>
            <family val="2"/>
          </rPr>
          <t>Illustrative treasury assumption. Replace with actual financing terms.</t>
        </r>
      </text>
    </comment>
    <comment ref="B20" authorId="0" shapeId="0" xr:uid="{00000000-0006-0000-1000-000022000000}">
      <text>
        <r>
          <rPr>
            <sz val="10"/>
            <rFont val="Arial"/>
            <family val="2"/>
          </rPr>
          <t>Placeholder covenant; replace with financing documentation.</t>
        </r>
      </text>
    </comment>
    <comment ref="B25" authorId="0" shapeId="0" xr:uid="{00000000-0006-0000-1000-000023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Scenario share of monthly generation cost shock billed / recovered immediately</t>
        </r>
      </text>
    </comment>
    <comment ref="C25" authorId="0" shapeId="0" xr:uid="{00000000-0006-0000-1000-000024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Scenario share of monthly generation cost shock billed / recovered immediately</t>
        </r>
      </text>
    </comment>
    <comment ref="D25" authorId="0" shapeId="0" xr:uid="{00000000-0006-0000-1000-000025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Scenario share of monthly generation cost shock billed / recovered immediately</t>
        </r>
      </text>
    </comment>
    <comment ref="E25" authorId="0" shapeId="0" xr:uid="{00000000-0006-0000-1000-000026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Scenario share of monthly generation cost shock billed / recovered immediately</t>
        </r>
      </text>
    </comment>
    <comment ref="B26" authorId="0" shapeId="0" xr:uid="{00000000-0006-0000-1000-000027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Scenario share of generation cost adjustment flagged / refunded after verification</t>
        </r>
      </text>
    </comment>
    <comment ref="C26" authorId="0" shapeId="0" xr:uid="{00000000-0006-0000-1000-000028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Scenario share of generation cost adjustment flagged / refunded after verification</t>
        </r>
      </text>
    </comment>
    <comment ref="D26" authorId="0" shapeId="0" xr:uid="{00000000-0006-0000-1000-000029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Scenario share of generation cost adjustment flagged / refunded after verification</t>
        </r>
      </text>
    </comment>
    <comment ref="E26" authorId="0" shapeId="0" xr:uid="{00000000-0006-0000-1000-00002A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Scenario share of generation cost adjustment flagged / refunded after verification</t>
        </r>
      </text>
    </comment>
    <comment ref="B27" authorId="0" shapeId="0" xr:uid="{00000000-0006-0000-1000-00002B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Placeholder monthly billing / collection lag</t>
        </r>
      </text>
    </comment>
    <comment ref="C27" authorId="0" shapeId="0" xr:uid="{00000000-0006-0000-1000-00002C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Placeholder monthly billing / collection lag</t>
        </r>
      </text>
    </comment>
    <comment ref="D27" authorId="0" shapeId="0" xr:uid="{00000000-0006-0000-1000-00002D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Placeholder monthly billing / collection lag</t>
        </r>
      </text>
    </comment>
    <comment ref="E27" authorId="0" shapeId="0" xr:uid="{00000000-0006-0000-1000-00002E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Placeholder monthly billing / collection lag</t>
        </r>
      </text>
    </comment>
    <comment ref="B28" authorId="0" shapeId="0" xr:uid="{00000000-0006-0000-1000-00002F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Refund timing lag after ERC verification / refund order</t>
        </r>
      </text>
    </comment>
    <comment ref="C28" authorId="0" shapeId="0" xr:uid="{00000000-0006-0000-1000-000030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Refund timing lag after ERC verification / refund order</t>
        </r>
      </text>
    </comment>
    <comment ref="D28" authorId="0" shapeId="0" xr:uid="{00000000-0006-0000-1000-000031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Refund timing lag after ERC verification / refund order</t>
        </r>
      </text>
    </comment>
    <comment ref="E28" authorId="0" shapeId="0" xr:uid="{00000000-0006-0000-1000-000032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Refund timing lag after ERC verification / refund order</t>
        </r>
      </text>
    </comment>
    <comment ref="B29" authorId="0" shapeId="0" xr:uid="{00000000-0006-0000-1000-000033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Regulatory receivable amortization / staggering horizon</t>
        </r>
      </text>
    </comment>
    <comment ref="C29" authorId="0" shapeId="0" xr:uid="{00000000-0006-0000-1000-000034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Regulatory receivable amortization / staggering horizon</t>
        </r>
      </text>
    </comment>
    <comment ref="D29" authorId="0" shapeId="0" xr:uid="{00000000-0006-0000-1000-000035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Regulatory receivable amortization / staggering horizon</t>
        </r>
      </text>
    </comment>
    <comment ref="E29" authorId="0" shapeId="0" xr:uid="{00000000-0006-0000-1000-000036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Regulatory receivable amortization / staggering horizon</t>
        </r>
      </text>
    </comment>
    <comment ref="B30" authorId="0" shapeId="0" xr:uid="{00000000-0006-0000-1000-000037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Carrying cost on deferred regulatory receivable balance</t>
        </r>
      </text>
    </comment>
    <comment ref="C30" authorId="0" shapeId="0" xr:uid="{00000000-0006-0000-1000-000038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Carrying cost on deferred regulatory receivable balance</t>
        </r>
      </text>
    </comment>
    <comment ref="D30" authorId="0" shapeId="0" xr:uid="{00000000-0006-0000-1000-000039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Carrying cost on deferred regulatory receivable balance</t>
        </r>
      </text>
    </comment>
    <comment ref="E30" authorId="0" shapeId="0" xr:uid="{00000000-0006-0000-1000-00003A000000}">
      <text>
        <r>
          <rPr>
            <sz val="10"/>
            <rFont val="Arial"/>
            <family val="2"/>
          </rPr>
          <t>Placeholder – replace with Meralco/MGEN data. Modeled as AGRA-style generation charge pass-through with post-verification / true-up. ERC validation / premature adjustment example: https://www.erc.gov.ph/Press-Singular/83585 and https://www.abs-cbn.com/business/2024/2/14/meralco-to-comply-with-refund-ordered-by-erc-in-march-1924 . Recovery smoothing / 12-36 month recovery example: https://www.bworldonline.com/corporate/2026/01/28/726879/meralco-gencos-get-erc-nod-to-collect-p31-b-fuel-cost-recovery/ and https://www.abs-cbn.com/news/business/2026/1/28/erc-approves-collection-of-p31b-from-power-generators-1645 . Carrying cost on deferred regulatory receivable balance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6" authorId="0" shapeId="0" xr:uid="{00000000-0006-0000-1200-000001000000}">
      <text>
        <r>
          <rPr>
            <sz val="10"/>
            <rFont val="Arial"/>
            <family val="2"/>
          </rPr>
          <t>Illustrative current Brent level aligned to 6 Mar 2026 market proxy.
Source: https://www.investing.com/commodities/brent-oil-historical-data</t>
        </r>
      </text>
    </comment>
    <comment ref="D6" authorId="0" shapeId="0" xr:uid="{00000000-0006-0000-1200-000002000000}">
      <text>
        <r>
          <rPr>
            <sz val="10"/>
            <rFont val="Arial"/>
            <family val="2"/>
          </rPr>
          <t>Trigger threshold placeholder aligned to proposal playbook; refine with management risk appetite and governance.</t>
        </r>
      </text>
    </comment>
    <comment ref="F6" authorId="0" shapeId="0" xr:uid="{00000000-0006-0000-1200-000003000000}">
      <text>
        <r>
          <rPr>
            <sz val="10"/>
            <rFont val="Arial"/>
            <family val="2"/>
          </rPr>
          <t>Observed duration counter placeholder; update from live monitoring.</t>
        </r>
      </text>
    </comment>
    <comment ref="G6" authorId="0" shapeId="0" xr:uid="{00000000-0006-0000-1200-000004000000}">
      <text>
        <r>
          <rPr>
            <sz val="10"/>
            <rFont val="Arial"/>
            <family val="2"/>
          </rPr>
          <t>Trigger duration placeholder; refine with management governance.</t>
        </r>
      </text>
    </comment>
    <comment ref="C7" authorId="0" shapeId="0" xr:uid="{00000000-0006-0000-1200-000005000000}">
      <text>
        <r>
          <rPr>
            <sz val="10"/>
            <rFont val="Arial"/>
            <family val="2"/>
          </rPr>
          <t>Illustrative current JKM level aligned to 6 Mar 2026 market proxy.
Source: https://www.investing.com/commodities/lng-japan-korea-marker-platts-futures-historical-data</t>
        </r>
      </text>
    </comment>
    <comment ref="D7" authorId="0" shapeId="0" xr:uid="{00000000-0006-0000-1200-000006000000}">
      <text>
        <r>
          <rPr>
            <sz val="10"/>
            <rFont val="Arial"/>
            <family val="2"/>
          </rPr>
          <t>Trigger threshold placeholder aligned to proposal playbook; refine with management risk appetite and governance.</t>
        </r>
      </text>
    </comment>
    <comment ref="F7" authorId="0" shapeId="0" xr:uid="{00000000-0006-0000-1200-000007000000}">
      <text>
        <r>
          <rPr>
            <sz val="10"/>
            <rFont val="Arial"/>
            <family val="2"/>
          </rPr>
          <t>Observed duration counter placeholder; update from live monitoring.</t>
        </r>
      </text>
    </comment>
    <comment ref="G7" authorId="0" shapeId="0" xr:uid="{00000000-0006-0000-1200-000008000000}">
      <text>
        <r>
          <rPr>
            <sz val="10"/>
            <rFont val="Arial"/>
            <family val="2"/>
          </rPr>
          <t>Trigger duration placeholder; refine with management governance.</t>
        </r>
      </text>
    </comment>
    <comment ref="C8" authorId="0" shapeId="0" xr:uid="{00000000-0006-0000-1200-000009000000}">
      <text>
        <r>
          <rPr>
            <sz val="10"/>
            <rFont val="Arial"/>
            <family val="2"/>
          </rPr>
          <t>Illustrative current USD/PHP aligned to 6 Mar 2026 market proxy.
Source: https://www.exchange-rates.org/exchange-rate-history/usd-php-2026</t>
        </r>
      </text>
    </comment>
    <comment ref="D8" authorId="0" shapeId="0" xr:uid="{00000000-0006-0000-1200-00000A000000}">
      <text>
        <r>
          <rPr>
            <sz val="10"/>
            <rFont val="Arial"/>
            <family val="2"/>
          </rPr>
          <t>Trigger threshold placeholder aligned to proposal playbook; refine with management risk appetite and governance.</t>
        </r>
      </text>
    </comment>
    <comment ref="F8" authorId="0" shapeId="0" xr:uid="{00000000-0006-0000-1200-00000B000000}">
      <text>
        <r>
          <rPr>
            <sz val="10"/>
            <rFont val="Arial"/>
            <family val="2"/>
          </rPr>
          <t>Observed duration counter placeholder; update from live monitoring.</t>
        </r>
      </text>
    </comment>
    <comment ref="G8" authorId="0" shapeId="0" xr:uid="{00000000-0006-0000-1200-00000C000000}">
      <text>
        <r>
          <rPr>
            <sz val="10"/>
            <rFont val="Arial"/>
            <family val="2"/>
          </rPr>
          <t>Trigger duration placeholder; refine with management governance.</t>
        </r>
      </text>
    </comment>
    <comment ref="C9" authorId="0" shapeId="0" xr:uid="{00000000-0006-0000-1200-00000D000000}">
      <text>
        <r>
          <rPr>
            <sz val="10"/>
            <rFont val="Arial"/>
            <family val="2"/>
          </rPr>
          <t>Current monitoring level placeholder; update from live market / operating data.</t>
        </r>
      </text>
    </comment>
    <comment ref="D9" authorId="0" shapeId="0" xr:uid="{00000000-0006-0000-1200-00000E000000}">
      <text>
        <r>
          <rPr>
            <sz val="10"/>
            <rFont val="Arial"/>
            <family val="2"/>
          </rPr>
          <t>Trigger threshold placeholder aligned to proposal playbook; refine with management risk appetite and governance.</t>
        </r>
      </text>
    </comment>
    <comment ref="F9" authorId="0" shapeId="0" xr:uid="{00000000-0006-0000-1200-00000F000000}">
      <text>
        <r>
          <rPr>
            <sz val="10"/>
            <rFont val="Arial"/>
            <family val="2"/>
          </rPr>
          <t>Observed duration counter placeholder; update from live monitoring.</t>
        </r>
      </text>
    </comment>
    <comment ref="G9" authorId="0" shapeId="0" xr:uid="{00000000-0006-0000-1200-000010000000}">
      <text>
        <r>
          <rPr>
            <sz val="10"/>
            <rFont val="Arial"/>
            <family val="2"/>
          </rPr>
          <t>Trigger duration placeholder; refine with management governance.</t>
        </r>
      </text>
    </comment>
    <comment ref="C10" authorId="0" shapeId="0" xr:uid="{00000000-0006-0000-1200-000011000000}">
      <text>
        <r>
          <rPr>
            <sz val="10"/>
            <rFont val="Arial"/>
            <family val="2"/>
          </rPr>
          <t>Current monitoring level placeholder; update from live market / operating data.</t>
        </r>
      </text>
    </comment>
    <comment ref="D10" authorId="0" shapeId="0" xr:uid="{00000000-0006-0000-1200-000012000000}">
      <text>
        <r>
          <rPr>
            <sz val="10"/>
            <rFont val="Arial"/>
            <family val="2"/>
          </rPr>
          <t>Trigger threshold placeholder aligned to proposal playbook; refine with management risk appetite and governance.</t>
        </r>
      </text>
    </comment>
    <comment ref="F10" authorId="0" shapeId="0" xr:uid="{00000000-0006-0000-1200-000013000000}">
      <text>
        <r>
          <rPr>
            <sz val="10"/>
            <rFont val="Arial"/>
            <family val="2"/>
          </rPr>
          <t>Observed duration counter placeholder; update from live monitoring.</t>
        </r>
      </text>
    </comment>
    <comment ref="G10" authorId="0" shapeId="0" xr:uid="{00000000-0006-0000-1200-000014000000}">
      <text>
        <r>
          <rPr>
            <sz val="10"/>
            <rFont val="Arial"/>
            <family val="2"/>
          </rPr>
          <t>Trigger duration placeholder; refine with management governance.</t>
        </r>
      </text>
    </comment>
    <comment ref="C11" authorId="0" shapeId="0" xr:uid="{00000000-0006-0000-1200-000015000000}">
      <text>
        <r>
          <rPr>
            <sz val="10"/>
            <rFont val="Arial"/>
            <family val="2"/>
          </rPr>
          <t>Current monitoring level placeholder; update from live market / operating data.</t>
        </r>
      </text>
    </comment>
    <comment ref="D11" authorId="0" shapeId="0" xr:uid="{00000000-0006-0000-1200-000016000000}">
      <text>
        <r>
          <rPr>
            <sz val="10"/>
            <rFont val="Arial"/>
            <family val="2"/>
          </rPr>
          <t>Trigger threshold placeholder aligned to proposal playbook; refine with management risk appetite and governance.</t>
        </r>
      </text>
    </comment>
    <comment ref="F11" authorId="0" shapeId="0" xr:uid="{00000000-0006-0000-1200-000017000000}">
      <text>
        <r>
          <rPr>
            <sz val="10"/>
            <rFont val="Arial"/>
            <family val="2"/>
          </rPr>
          <t>Observed duration counter placeholder; update from live monitoring.</t>
        </r>
      </text>
    </comment>
    <comment ref="G11" authorId="0" shapeId="0" xr:uid="{00000000-0006-0000-1200-000018000000}">
      <text>
        <r>
          <rPr>
            <sz val="10"/>
            <rFont val="Arial"/>
            <family val="2"/>
          </rPr>
          <t>Trigger duration placeholder; refine with management governance.</t>
        </r>
      </text>
    </comment>
  </commentList>
</comments>
</file>

<file path=xl/sharedStrings.xml><?xml version="1.0" encoding="utf-8"?>
<sst xmlns="http://schemas.openxmlformats.org/spreadsheetml/2006/main" count="1428" uniqueCount="756">
  <si>
    <t>MGEN Scenario Planning and Business Continuity Stress Test — Auditable Excel Model</t>
  </si>
  <si>
    <t>Purpose</t>
  </si>
  <si>
    <t>This workbook is an auditable proposal model aligned to the RFP modules: Module 1 scenario quantification; Module 2 transmission from fuel to SRMC to WESM to margins; Module 3 30/90/180-day liquidity stress; Module 4 trigger-based operating playbook. All hardcoded values are illustrative placeholders for proposal purposes and should be replaced with MGEN data on mobilization.</t>
  </si>
  <si>
    <t>Model legend</t>
  </si>
  <si>
    <t>Sheet map</t>
  </si>
  <si>
    <t>Type</t>
  </si>
  <si>
    <t>Formatting convention</t>
  </si>
  <si>
    <t>Example</t>
  </si>
  <si>
    <t>Sheet</t>
  </si>
  <si>
    <t>Input / assumption</t>
  </si>
  <si>
    <t>Blue font + yellow fill</t>
  </si>
  <si>
    <t>Sample</t>
  </si>
  <si>
    <t>03_Scenarios</t>
  </si>
  <si>
    <t>Quantified scenario input matrix (Base, S1, S2, S3)</t>
  </si>
  <si>
    <t>Formula / calculation</t>
  </si>
  <si>
    <t>Black font</t>
  </si>
  <si>
    <t>10_FuelLanding</t>
  </si>
  <si>
    <t>Landed coal, LNG, and oil costs by scenario</t>
  </si>
  <si>
    <t>Linked from another sheet</t>
  </si>
  <si>
    <t>Green font</t>
  </si>
  <si>
    <t>12_PlantSRMC</t>
  </si>
  <si>
    <t>Coal, gas, and oil SRMC build-up</t>
  </si>
  <si>
    <t>Static constant</t>
  </si>
  <si>
    <t>Gray fill + gray font</t>
  </si>
  <si>
    <t>13_MeritOrder_WESM</t>
  </si>
  <si>
    <t>Simplified auditable merit order and WESM price</t>
  </si>
  <si>
    <t>Deck-ready output</t>
  </si>
  <si>
    <t>Bold + green fill</t>
  </si>
  <si>
    <t>21_SupplyWholesale_Margin</t>
  </si>
  <si>
    <t>BCQ / spot / imbalance / repricing sensitivity</t>
  </si>
  <si>
    <t>Control / mapping note</t>
  </si>
  <si>
    <t>Purple font + lavender fill</t>
  </si>
  <si>
    <t>31_Retail_EBIT</t>
  </si>
  <si>
    <t>Segment-level retail EBIT sensitivity</t>
  </si>
  <si>
    <t>Review / caution note</t>
  </si>
  <si>
    <t>Orange/italic note box</t>
  </si>
  <si>
    <t>41_Liquidity_Model</t>
  </si>
  <si>
    <t>30/90/180-day liquidity stress dashboard logic</t>
  </si>
  <si>
    <t>Check flag</t>
  </si>
  <si>
    <t>Red fill / FLAG</t>
  </si>
  <si>
    <t>50_Triggers_Playbook</t>
  </si>
  <si>
    <t>Trigger thresholds, durations, actions</t>
  </si>
  <si>
    <t>60_Outputs</t>
  </si>
  <si>
    <t>Deck-ready summary tables matching RFP sample structures</t>
  </si>
  <si>
    <t>99_Checks</t>
  </si>
  <si>
    <t>Model integrity checks and tie-outs</t>
  </si>
  <si>
    <t>Template mapping used in this proposal model: Base = current state, 30-day liquidity horizon uses Scenario 1 (short risk premium), 90-day horizon uses Scenario 2 (sustained elevation), and 180-day horizon uses Scenario 3 (supply disruption). This can be changed easily by relinking 04_HorizonMap.</t>
  </si>
  <si>
    <t>Physical Constants and Conversion Factors</t>
  </si>
  <si>
    <t>Constant</t>
  </si>
  <si>
    <t>Value</t>
  </si>
  <si>
    <t>Unit</t>
  </si>
  <si>
    <t>Source / Notes</t>
  </si>
  <si>
    <t>MWh_to_GJ</t>
  </si>
  <si>
    <t>GJ/MWh</t>
  </si>
  <si>
    <t>Static</t>
  </si>
  <si>
    <t>Energy conversion. Source: https://www.eia.gov/energyexplained/units-and-calculators/</t>
  </si>
  <si>
    <t>MMBtu_to_GJ</t>
  </si>
  <si>
    <t>GJ/MMBtu</t>
  </si>
  <si>
    <t>MMBtu_per_bbl_crude_equiv</t>
  </si>
  <si>
    <t>MMBtu/bbl</t>
  </si>
  <si>
    <t>Illustrative crude-to-energy conversion. Source: https://www.eia.gov/energyexplained/units-and-calculators/</t>
  </si>
  <si>
    <t>GJ_per_bbl</t>
  </si>
  <si>
    <t>GJ/bbl</t>
  </si>
  <si>
    <t>Derived</t>
  </si>
  <si>
    <t>Uses MMBtu_per_bbl_crude_equiv × MMBtu_to_GJ</t>
  </si>
  <si>
    <t>kWh_per_MWh</t>
  </si>
  <si>
    <t>kWh/MWh</t>
  </si>
  <si>
    <t>Electricity conversion</t>
  </si>
  <si>
    <t>GAR_to_GJ_per_t_factor</t>
  </si>
  <si>
    <t>GJ/t per kcal/kg</t>
  </si>
  <si>
    <t>Derived conversion factor: GJ/t = kcal/kg × 0.0041868</t>
  </si>
  <si>
    <t>Coal_CV_GAR5000</t>
  </si>
  <si>
    <t>GJ/t</t>
  </si>
  <si>
    <t>Derived from GAR 5000 kcal/kg benchmark using row 9 conversion factor</t>
  </si>
  <si>
    <t>Coal_CV_GAR5250</t>
  </si>
  <si>
    <t>Derived from GAR 5250 kcal/kg benchmark using row 9 conversion factor</t>
  </si>
  <si>
    <t>Coal_CV_GAR5500</t>
  </si>
  <si>
    <t>Derived from GAR 5500 kcal/kg benchmark using row 9 conversion factor</t>
  </si>
  <si>
    <t>Base Operating Inputs and Generic Proposal Assumptions</t>
  </si>
  <si>
    <t>Seasonality and Weather Stress Toggles</t>
  </si>
  <si>
    <t>Industry-assumption placeholders for proposal use; calibrate with historical WESM / Meralco demand and renewable availability data during project.</t>
  </si>
  <si>
    <t>Input</t>
  </si>
  <si>
    <t>Comment</t>
  </si>
  <si>
    <t>Setting</t>
  </si>
  <si>
    <t>Selected</t>
  </si>
  <si>
    <t>Oil_product_diff_USD_bbl</t>
  </si>
  <si>
    <t>USD/bbl</t>
  </si>
  <si>
    <t>Illustrative oil product differential used for oil peaker SRMC conversion.</t>
  </si>
  <si>
    <t>Selected season</t>
  </si>
  <si>
    <t>Hot-dry</t>
  </si>
  <si>
    <t>text</t>
  </si>
  <si>
    <t>Use Hot-dry / Wet / Cool-dry to stress demand and renewable availability</t>
  </si>
  <si>
    <t>Coal_dispatch_MWh_month</t>
  </si>
  <si>
    <t>MWh/month</t>
  </si>
  <si>
    <t>Illustrative monthly coal dispatch volume.</t>
  </si>
  <si>
    <t>Gas_dispatch_MWh_month</t>
  </si>
  <si>
    <t>Illustrative monthly gas dispatch volume.</t>
  </si>
  <si>
    <t>Season</t>
  </si>
  <si>
    <t>Solar mult</t>
  </si>
  <si>
    <t>Wind mult</t>
  </si>
  <si>
    <t>Hydro mult</t>
  </si>
  <si>
    <t>Demand uplift</t>
  </si>
  <si>
    <t>Oil_dispatch_MWh_month</t>
  </si>
  <si>
    <t>Illustrative monthly oil peaker dispatch volume.</t>
  </si>
  <si>
    <t>Higher temperature load; hydro deration risk</t>
  </si>
  <si>
    <t>Luzon_demand_MW_toy</t>
  </si>
  <si>
    <t>MW</t>
  </si>
  <si>
    <t>Representative demand level for simplified merit-order example.</t>
  </si>
  <si>
    <t>Wet</t>
  </si>
  <si>
    <t>Cloud cover suppresses solar; hydro improves</t>
  </si>
  <si>
    <t>Reserve_volume_MWh_month</t>
  </si>
  <si>
    <t>MW-h/month</t>
  </si>
  <si>
    <t>Illustrative reserve volume used for reserve revenue sensitivity.</t>
  </si>
  <si>
    <t>Cool-dry</t>
  </si>
  <si>
    <t>Lower cooling demand; more benign conditions</t>
  </si>
  <si>
    <t>Selected driver</t>
  </si>
  <si>
    <t>Formula</t>
  </si>
  <si>
    <t>Result</t>
  </si>
  <si>
    <t>x</t>
  </si>
  <si>
    <t>Selected season multiplier</t>
  </si>
  <si>
    <t>Luzon Demand Blocks for LWAP Proxy</t>
  </si>
  <si>
    <t>Block</t>
  </si>
  <si>
    <t>Base MW</t>
  </si>
  <si>
    <t>Hours/day</t>
  </si>
  <si>
    <t>Final MW</t>
  </si>
  <si>
    <t>Off-peak</t>
  </si>
  <si>
    <t>Stylized block anchored to Luzon average demand and night trough</t>
  </si>
  <si>
    <t>Shoulder</t>
  </si>
  <si>
    <t>Stylized block representing daytime / evening shoulder</t>
  </si>
  <si>
    <t>Peak</t>
  </si>
  <si>
    <t>Stylized peak block calibrated so base/S1/S2 clear on gas and S3 can move to oil under gas stress</t>
  </si>
  <si>
    <t>VRE block-shape calibration (base case)</t>
  </si>
  <si>
    <t>Selected-season implied CF</t>
  </si>
  <si>
    <t>Solar block shape</t>
  </si>
  <si>
    <t>Targets ~16% solar CF in selected season</t>
  </si>
  <si>
    <t>Wind block shape</t>
  </si>
  <si>
    <t>Targets ~30% wind CF in selected season</t>
  </si>
  <si>
    <t>Hydro energy-budget proxy</t>
  </si>
  <si>
    <t>Hydro_EnergyBudget_GWh_day</t>
  </si>
  <si>
    <t>Daily hydro energy budget proxy by season</t>
  </si>
  <si>
    <t>Hydro_PeakMW_Limit</t>
  </si>
  <si>
    <t>Seasonal hydro MW cap proxy</t>
  </si>
  <si>
    <t>RawHydroEnergy_MWh_day</t>
  </si>
  <si>
    <t>Raw hydro energy implied by block profiles before energy-budget scaling</t>
  </si>
  <si>
    <t>Hydro_BudgetScale</t>
  </si>
  <si>
    <t>Scaling factor applied to hydro block MW so total daily hydro MWh stays within budget</t>
  </si>
  <si>
    <t>SPC / WESM mitigation controls</t>
  </si>
  <si>
    <t>togSPC</t>
  </si>
  <si>
    <t>0/1</t>
  </si>
  <si>
    <t>Off by default</t>
  </si>
  <si>
    <t>Toggle to cap block prices under simplified SPC sensitivity</t>
  </si>
  <si>
    <t>SPC_Cap_PHP_MWh</t>
  </si>
  <si>
    <t>PHP/MWh</t>
  </si>
  <si>
    <t>Placeholder</t>
  </si>
  <si>
    <t>Simple cap applied when toggle = 1</t>
  </si>
  <si>
    <t>SPC_TriggerAvg_PHP_MWh</t>
  </si>
  <si>
    <t>Optional placeholder</t>
  </si>
  <si>
    <t>Reference trigger level for documentation / future refinement</t>
  </si>
  <si>
    <t>Module 1 — Quantified Scenario Matrix (RFP-aligned)</t>
  </si>
  <si>
    <t>Scenario metadata</t>
  </si>
  <si>
    <t>Scenario framework aligned to proposal slide: S1 = Contained disruption / rapid normalisation; S2 = Sustained regional disruption; S3 = Full-scale regional supply shock. Base column uses pre-escalation market proxy (27 Feb 2026 close) so scenario deltas follow the slide logic.</t>
  </si>
  <si>
    <t>Data as-of</t>
  </si>
  <si>
    <t>Base reference</t>
  </si>
  <si>
    <t>2026-02-27 close</t>
  </si>
  <si>
    <t>Framework source</t>
  </si>
  <si>
    <t>Proposal Module 1 slide</t>
  </si>
  <si>
    <t>Variable</t>
  </si>
  <si>
    <t>Base</t>
  </si>
  <si>
    <t>Scenario 1</t>
  </si>
  <si>
    <t>Scenario 2</t>
  </si>
  <si>
    <t>Scenario 3</t>
  </si>
  <si>
    <t>RFP linkage</t>
  </si>
  <si>
    <t>Notes</t>
  </si>
  <si>
    <t>Duration_days</t>
  </si>
  <si>
    <t>days</t>
  </si>
  <si>
    <t>Module 1 / p.2, p.5</t>
  </si>
  <si>
    <t>Base=pre-escalation proxy; S1/S2/S3 day counts reflect slide language</t>
  </si>
  <si>
    <t>Brent_USD_bbl</t>
  </si>
  <si>
    <t>Brent trajectory</t>
  </si>
  <si>
    <t>S1 $75–85; S2 $90–100; S3 $120–150+</t>
  </si>
  <si>
    <t>JKM_USD_MMBtu</t>
  </si>
  <si>
    <t>USD/MMBtu</t>
  </si>
  <si>
    <t>JKM trajectory</t>
  </si>
  <si>
    <t>Central % uplifts vs pre-escalation base</t>
  </si>
  <si>
    <t>Newcastle_USD_t</t>
  </si>
  <si>
    <t>USD/t</t>
  </si>
  <si>
    <t>Newcastle trajectory</t>
  </si>
  <si>
    <t>CoalFreight_USD_t</t>
  </si>
  <si>
    <t>Freight impact</t>
  </si>
  <si>
    <t>Central freight uplift vs generic base</t>
  </si>
  <si>
    <t>CoalInsurance_USD_t</t>
  </si>
  <si>
    <t>Marine insurance impact</t>
  </si>
  <si>
    <t>Central insurance / war-risk multiplier proxy</t>
  </si>
  <si>
    <t>CoalLogisticsAdder_USD_t</t>
  </si>
  <si>
    <t>Coal logistics disruption risk</t>
  </si>
  <si>
    <t>Cost adder for logistics disruption</t>
  </si>
  <si>
    <t>FX_PHP_USD</t>
  </si>
  <si>
    <t>PHP/USD</t>
  </si>
  <si>
    <t>USD/PHP</t>
  </si>
  <si>
    <t>Central USD strengthening vs pre-escalation base</t>
  </si>
  <si>
    <t>LNG_Basis_Batangas_USD_MMBtu</t>
  </si>
  <si>
    <t>DES LNG basis</t>
  </si>
  <si>
    <t>DES basis vs JKM; full shipping not double counted</t>
  </si>
  <si>
    <t>LNG_Availability_pct</t>
  </si>
  <si>
    <t>%</t>
  </si>
  <si>
    <t>LNG shipping constraints</t>
  </si>
  <si>
    <t>Gas availability / throughput multiplier used in merit-order and reserve</t>
  </si>
  <si>
    <t>CoalDelay_days</t>
  </si>
  <si>
    <t>Delay days feed liquidity model</t>
  </si>
  <si>
    <t>BidUplift_pct</t>
  </si>
  <si>
    <t>WESM price formation</t>
  </si>
  <si>
    <t>Auditable WESM calibration toggle</t>
  </si>
  <si>
    <t>Reserve_alpha</t>
  </si>
  <si>
    <t>Reserve market pricing</t>
  </si>
  <si>
    <t>Reserve price proxy parameter</t>
  </si>
  <si>
    <t>BadDebt_mult</t>
  </si>
  <si>
    <t>Retail credit risk</t>
  </si>
  <si>
    <t>Retail stress placeholder</t>
  </si>
  <si>
    <t>Horizon Mapping Used for Module 3 Liquidity Stress</t>
  </si>
  <si>
    <t>To keep the proposal model simple and auditable, 30-day stress uses Scenario 1, 90-day stress uses Scenario 2, and 180-day stress uses Scenario 3. Edit this mapping if the client prefers a different horizon-to-scenario view.</t>
  </si>
  <si>
    <t>Metric</t>
  </si>
  <si>
    <t>30 Days</t>
  </si>
  <si>
    <t>90 Days</t>
  </si>
  <si>
    <t>180 Days</t>
  </si>
  <si>
    <t>Base / S1 / S2 / S3 mapped left to right for liquidity horizons</t>
  </si>
  <si>
    <t>LNG_ShipRegas_USD_MMBtu</t>
  </si>
  <si>
    <t>GasAvail_pct</t>
  </si>
  <si>
    <t>Fuel Landing Cost Build-up (Module 2 prerequisite)</t>
  </si>
  <si>
    <t>Green-font rows link directly to scenario inputs; black-font rows are formulas. Coal is now normalized on a GJ basis using the selected GAR/CV case; LNG is split into JKM DES basis, regas/terminal, and delay/demurrage to avoid double counting shipping.</t>
  </si>
  <si>
    <t>Fuel / Component</t>
  </si>
  <si>
    <t>Audit note</t>
  </si>
  <si>
    <t>Newcastle</t>
  </si>
  <si>
    <t>Direct scenario pull</t>
  </si>
  <si>
    <t>Freight</t>
  </si>
  <si>
    <t>Insurance</t>
  </si>
  <si>
    <t>Logistics adder</t>
  </si>
  <si>
    <t>Coal landed cost</t>
  </si>
  <si>
    <t>Newcastle + freight + insurance + logistics</t>
  </si>
  <si>
    <t>FX</t>
  </si>
  <si>
    <t>PHP/t</t>
  </si>
  <si>
    <t>USD/t × FX</t>
  </si>
  <si>
    <t>Coal CV (selected)</t>
  </si>
  <si>
    <t>Linked to selected GAR/CV case in 11_Plants</t>
  </si>
  <si>
    <t>PHP/GJ</t>
  </si>
  <si>
    <t>(USD/t / selected GJ/t) x FX</t>
  </si>
  <si>
    <t>LNG / Gas block</t>
  </si>
  <si>
    <t>JKM</t>
  </si>
  <si>
    <t>DES basis to Batangas</t>
  </si>
  <si>
    <t>Linked to scenario DES basis assumption</t>
  </si>
  <si>
    <t>Delivered LNG cost</t>
  </si>
  <si>
    <t>JKM + DES basis</t>
  </si>
  <si>
    <t>Regas / terminal fee</t>
  </si>
  <si>
    <t>Placeholder terminal / regas fee</t>
  </si>
  <si>
    <t>Delay / demurrage</t>
  </si>
  <si>
    <t>Placeholder disruption / demurrage adder</t>
  </si>
  <si>
    <t>LNG landed cost</t>
  </si>
  <si>
    <t>PHP/MMBtu</t>
  </si>
  <si>
    <t>(JKM + basis + regas + delay) x FX</t>
  </si>
  <si>
    <t>Oil peaker block</t>
  </si>
  <si>
    <t>Brent</t>
  </si>
  <si>
    <t>Product differential</t>
  </si>
  <si>
    <t>Oil landed cost</t>
  </si>
  <si>
    <t>PHP/bbl</t>
  </si>
  <si>
    <t>GJ per bbl</t>
  </si>
  <si>
    <t>Oil fuel cost</t>
  </si>
  <si>
    <t>Plant Cluster Assumptions (Generic placeholders; replace with MGEN input)</t>
  </si>
  <si>
    <t>Cluster</t>
  </si>
  <si>
    <t>Fuel</t>
  </si>
  <si>
    <t>Capacity (MW)</t>
  </si>
  <si>
    <t>Base availability %</t>
  </si>
  <si>
    <t>Heat rate (GJ/MWh)</t>
  </si>
  <si>
    <t>Coal CV (GJ/t)</t>
  </si>
  <si>
    <t>Variable O&amp;M (PHP/MWh)</t>
  </si>
  <si>
    <t>Base dispatch (MWh/month)</t>
  </si>
  <si>
    <t>Coal GAR case</t>
  </si>
  <si>
    <t>Selected CV (GJ/t)</t>
  </si>
  <si>
    <t>Coal cluster</t>
  </si>
  <si>
    <t>Coal</t>
  </si>
  <si>
    <t>Generic HELE coal cluster placeholder</t>
  </si>
  <si>
    <t>GAR 5250</t>
  </si>
  <si>
    <t>Gas cluster</t>
  </si>
  <si>
    <t>Gas / LNG</t>
  </si>
  <si>
    <t>Generic CCGT / LNG cluster placeholder</t>
  </si>
  <si>
    <t>Oil peakers</t>
  </si>
  <si>
    <t>Oil</t>
  </si>
  <si>
    <t>Illustrative oil peaker cluster</t>
  </si>
  <si>
    <t>Luzon WESM stack inputs (system-level; auditable proxy)</t>
  </si>
  <si>
    <t>Dependable capacities use public DOE Luzon 2024 data; availability and profile factors are generic placeholders for proposal use and must be refined with historical IEMOP / client calibration.</t>
  </si>
  <si>
    <t>Source basis</t>
  </si>
  <si>
    <t>Dependable MW</t>
  </si>
  <si>
    <t>Base tech avail %</t>
  </si>
  <si>
    <t>Offpeak profile</t>
  </si>
  <si>
    <t>Shoulder profile</t>
  </si>
  <si>
    <t>Peak profile</t>
  </si>
  <si>
    <t>Seasonal/weather driver</t>
  </si>
  <si>
    <t>Scenario factor</t>
  </si>
  <si>
    <t>Cluster type</t>
  </si>
  <si>
    <t>Solar</t>
  </si>
  <si>
    <t>DOE 2024 dependable</t>
  </si>
  <si>
    <t>1.0x</t>
  </si>
  <si>
    <t>Daylight-driven profile</t>
  </si>
  <si>
    <t>Variable RE</t>
  </si>
  <si>
    <t>Wind</t>
  </si>
  <si>
    <t>Geothermal</t>
  </si>
  <si>
    <t>None</t>
  </si>
  <si>
    <t>Baseload renewable</t>
  </si>
  <si>
    <t>Must-run low SRMC</t>
  </si>
  <si>
    <t>Biomass</t>
  </si>
  <si>
    <t>Stable renewable / thermal</t>
  </si>
  <si>
    <t>Low-mid SRMC</t>
  </si>
  <si>
    <t>Hydro</t>
  </si>
  <si>
    <t>Peaking/flex resource</t>
  </si>
  <si>
    <t>Opportunity-cost peaking</t>
  </si>
  <si>
    <t>Backbone baseload</t>
  </si>
  <si>
    <t>Thermal</t>
  </si>
  <si>
    <t>Gas</t>
  </si>
  <si>
    <t>Fuel-constrained thermal; derated by LNG availability assumption</t>
  </si>
  <si>
    <t>Peaker / scarcity resource</t>
  </si>
  <si>
    <t>ESS</t>
  </si>
  <si>
    <t>Short-duration flexibility</t>
  </si>
  <si>
    <t>Flex</t>
  </si>
  <si>
    <t>Plant SRMC Build-up by Scenario</t>
  </si>
  <si>
    <t>This sheet is the auditable core of Module 2A. Coal now uses a GJ-normalized landed cost tied to the selected GAR/CV case; LNG now uses DES basis + regas + delay split before converting to PHP/MMBtu.</t>
  </si>
  <si>
    <t>Formula note</t>
  </si>
  <si>
    <t>Coal heat rate</t>
  </si>
  <si>
    <t>Coal CV</t>
  </si>
  <si>
    <t>Coal fuel cost</t>
  </si>
  <si>
    <t>Coal variable O&amp;M</t>
  </si>
  <si>
    <t>Coal SRMC</t>
  </si>
  <si>
    <t>Coal fuel + VOM using GAR/CV-normalized landed cost</t>
  </si>
  <si>
    <t>Gas heat rate</t>
  </si>
  <si>
    <t>GJ per MMBtu</t>
  </si>
  <si>
    <t>MMBtu/MWh</t>
  </si>
  <si>
    <t>Gas fuel cost</t>
  </si>
  <si>
    <t>Gas variable O&amp;M</t>
  </si>
  <si>
    <t>Gas SRMC</t>
  </si>
  <si>
    <t>Gas fuel + VOM</t>
  </si>
  <si>
    <t>Oil heat rate</t>
  </si>
  <si>
    <t>Oil variable O&amp;M</t>
  </si>
  <si>
    <t>Oil SRMC</t>
  </si>
  <si>
    <t>Oil fuel + VOM</t>
  </si>
  <si>
    <t>Coal dispatch</t>
  </si>
  <si>
    <t>Gas dispatch</t>
  </si>
  <si>
    <t>Oil dispatch</t>
  </si>
  <si>
    <t>Total dispatch</t>
  </si>
  <si>
    <t>Weighted fleet SRMC</t>
  </si>
  <si>
    <t>Dispatch-weighted portfolio SRMC</t>
  </si>
  <si>
    <t>Luzon market stack SRMC anchors (proxy values for merit-order model)</t>
  </si>
  <si>
    <t>Low-SRMC technologies use generic placeholder anchor values; coal/gas/oil rows link to the auditable plant SRMC build-up above.</t>
  </si>
  <si>
    <t>Near-zero marginal cost placeholder</t>
  </si>
  <si>
    <t>Generic low SRMC renewable placeholder</t>
  </si>
  <si>
    <t>Generic biomass SRMC placeholder</t>
  </si>
  <si>
    <t>Opportunity-cost hydro proxy; higher under scarcity</t>
  </si>
  <si>
    <t>Storage discharge opportunity-cost proxy</t>
  </si>
  <si>
    <t>Linked to detailed coal SRMC</t>
  </si>
  <si>
    <t>Linked to detailed gas SRMC</t>
  </si>
  <si>
    <t>Linked to detailed oil SRMC</t>
  </si>
  <si>
    <t>Luzon WESM merit-order proxy (realistic technology stack)</t>
  </si>
  <si>
    <t>Off-peak / shoulder / peak demand blocks and DOE-based technology clusters replace the original toy 3-unit stack. LNG_Availability_pct derates gas MW directly; prices are auditable merit-order proxies, not nodal dispatch replication.</t>
  </si>
  <si>
    <t>Base idx</t>
  </si>
  <si>
    <t>S1 idx</t>
  </si>
  <si>
    <t>S2 idx</t>
  </si>
  <si>
    <t>S3 idx</t>
  </si>
  <si>
    <t>Off-peak demand</t>
  </si>
  <si>
    <t>Demand blocks from 02_Inputs_Base seasonal toggle</t>
  </si>
  <si>
    <t>Shoulder demand</t>
  </si>
  <si>
    <t>Peak demand</t>
  </si>
  <si>
    <t>Off-peak marginal cluster</t>
  </si>
  <si>
    <t>Marginal technology by block</t>
  </si>
  <si>
    <t>Shoulder marginal cluster</t>
  </si>
  <si>
    <t>Peak marginal cluster</t>
  </si>
  <si>
    <t>Off-peak clearing price</t>
  </si>
  <si>
    <t>Clearing price = marginal cluster SRMC</t>
  </si>
  <si>
    <t>Shoulder clearing price</t>
  </si>
  <si>
    <t>Peak clearing price</t>
  </si>
  <si>
    <t>Weighted price pre-uplift</t>
  </si>
  <si>
    <t>Hours/day weighted average pre-uplift</t>
  </si>
  <si>
    <t>WESM Avg Luzon</t>
  </si>
  <si>
    <t>LWAP proxy = weighted price × (1+bid uplift)</t>
  </si>
  <si>
    <t>Peak adequacy buffer</t>
  </si>
  <si>
    <t>Peak available supply minus peak demand</t>
  </si>
  <si>
    <t>Peak scarcity ratio</t>
  </si>
  <si>
    <t>Peak demand / peak available supply</t>
  </si>
  <si>
    <t>Merit-order check</t>
  </si>
  <si>
    <t>flag</t>
  </si>
  <si>
    <t>Checks coal &lt;= gas &lt;= oil SRMC</t>
  </si>
  <si>
    <t>Base stack audit</t>
  </si>
  <si>
    <t>Cap MW</t>
  </si>
  <si>
    <t>Tech avail</t>
  </si>
  <si>
    <t>Off-peak MW</t>
  </si>
  <si>
    <t>Shoulder MW</t>
  </si>
  <si>
    <t>Peak MW</t>
  </si>
  <si>
    <t>SRMC</t>
  </si>
  <si>
    <t>Cum off</t>
  </si>
  <si>
    <t>Cum shoulder</t>
  </si>
  <si>
    <t>Cum peak</t>
  </si>
  <si>
    <t>Note</t>
  </si>
  <si>
    <t>Scenario 1 stack audit</t>
  </si>
  <si>
    <t>Scenario 2 stack audit</t>
  </si>
  <si>
    <t>Scenario 3 stack audit</t>
  </si>
  <si>
    <t>Reserve Market Pricing Proxy (energy + scarcity linked; LNG availability feeds scarcity through peak adequacy buffer)</t>
  </si>
  <si>
    <t>Reserve alpha</t>
  </si>
  <si>
    <t>Reserve Price</t>
  </si>
  <si>
    <t>PHP/MW-h</t>
  </si>
  <si>
    <t>Reserve volume</t>
  </si>
  <si>
    <t>Reserve revenue</t>
  </si>
  <si>
    <t>PHP mn/month</t>
  </si>
  <si>
    <t>Reserve price × reserve volume / 1,000,000</t>
  </si>
  <si>
    <t>Reserve requirement</t>
  </si>
  <si>
    <t>Average reserve requirement proxy</t>
  </si>
  <si>
    <t>Linked from WESM peak buffer</t>
  </si>
  <si>
    <t>Scarcity multiplier</t>
  </si>
  <si>
    <t>Raises reserve price when peak adequacy buffer turns negative</t>
  </si>
  <si>
    <t>Generation Gross Margin Sensitivity</t>
  </si>
  <si>
    <t>Coal gross margin</t>
  </si>
  <si>
    <t>Gas gross margin</t>
  </si>
  <si>
    <t>Oil gross margin</t>
  </si>
  <si>
    <t>Energy gross margin</t>
  </si>
  <si>
    <t>Total generation gross margin</t>
  </si>
  <si>
    <t>Energy margin + reserve revenue</t>
  </si>
  <si>
    <t>Supply &amp; Wholesale Exposure Inputs</t>
  </si>
  <si>
    <t>BCQ_volume_MWh</t>
  </si>
  <si>
    <t>Illustrative BCQ volume exposure</t>
  </si>
  <si>
    <t>BCQ_sell_price_PHP_MWh</t>
  </si>
  <si>
    <t>Illustrative bilateral contract sell price</t>
  </si>
  <si>
    <t>Spot_sales_volume_MWh</t>
  </si>
  <si>
    <t>Illustrative spot sales volume</t>
  </si>
  <si>
    <t>Imbalance_volume_MWh</t>
  </si>
  <si>
    <t>Illustrative imbalance volume (purchase if short)</t>
  </si>
  <si>
    <t>Imbalance_contract_price_PHP_MWh</t>
  </si>
  <si>
    <t>Reference price for imbalance exposure</t>
  </si>
  <si>
    <t>Repricing_beta</t>
  </si>
  <si>
    <t>Fraction of price shock recoverable through repricing</t>
  </si>
  <si>
    <t>Wholesale_opex_PHP_mn</t>
  </si>
  <si>
    <t>Illustrative monthly wholesale opex</t>
  </si>
  <si>
    <t>Scenario-based Supply &amp; Wholesale Margin Sensitivity</t>
  </si>
  <si>
    <t>BCQ exposure margin</t>
  </si>
  <si>
    <t>Spot sales margin</t>
  </si>
  <si>
    <t>Imbalance exposure</t>
  </si>
  <si>
    <t>Contract repricing recovery</t>
  </si>
  <si>
    <t>Wholesale opex</t>
  </si>
  <si>
    <t>Total supply &amp; wholesale margin</t>
  </si>
  <si>
    <t>BCQ + spot + imbalance + repricing - opex</t>
  </si>
  <si>
    <t>Supply &amp; Wholesale Margin Bridge (Base to Scenario)</t>
  </si>
  <si>
    <t>Driver</t>
  </si>
  <si>
    <t>S1</t>
  </si>
  <si>
    <t>S2</t>
  </si>
  <si>
    <t>S3</t>
  </si>
  <si>
    <t>Base margin</t>
  </si>
  <si>
    <t>Starting point</t>
  </si>
  <si>
    <t>BCQ / WESM price effect</t>
  </si>
  <si>
    <t>ΔWESM × BCQ volume (negative to margin)</t>
  </si>
  <si>
    <t>Spot / WESM price effect</t>
  </si>
  <si>
    <t>ΔWESM × spot sales volume</t>
  </si>
  <si>
    <t>Fuel / SRMC effect on spot</t>
  </si>
  <si>
    <t>Δweighted fleet SRMC × spot volume</t>
  </si>
  <si>
    <t>Imbalance effect</t>
  </si>
  <si>
    <t>ΔWESM × imbalance volume</t>
  </si>
  <si>
    <t>Offset from repricing clauses</t>
  </si>
  <si>
    <t>Bridge-implied scenario margin</t>
  </si>
  <si>
    <t>Bridge sum</t>
  </si>
  <si>
    <t>Actual scenario margin</t>
  </si>
  <si>
    <t>Direct model result</t>
  </si>
  <si>
    <t>Reconciliation</t>
  </si>
  <si>
    <t>Should tie to zero</t>
  </si>
  <si>
    <t>Status</t>
  </si>
  <si>
    <t>OK if reconciliation within tolerance</t>
  </si>
  <si>
    <t>Retail Portfolio Assumptions</t>
  </si>
  <si>
    <t>Segment</t>
  </si>
  <si>
    <t>Volume (MWh/month)</t>
  </si>
  <si>
    <t>Base tariff (PHP/kWh)</t>
  </si>
  <si>
    <t>Procurement link to WESM (x)</t>
  </si>
  <si>
    <t>Pass-through %</t>
  </si>
  <si>
    <t>Bad debt base %</t>
  </si>
  <si>
    <t>Attrition S1 %</t>
  </si>
  <si>
    <t>Attrition S2 %</t>
  </si>
  <si>
    <t>Attrition S3 %</t>
  </si>
  <si>
    <t>Opex (PHP mn/month)</t>
  </si>
  <si>
    <t>Fixed C&amp;I</t>
  </si>
  <si>
    <t>Fixed-price portfolio; low pass-through</t>
  </si>
  <si>
    <t>Indexed C&amp;I</t>
  </si>
  <si>
    <t>Indexed contracts; higher pass-through</t>
  </si>
  <si>
    <t>Other Retail</t>
  </si>
  <si>
    <t>Higher regulatory and credit sensitivity</t>
  </si>
  <si>
    <t>Retail EBIT Sensitivity by Scenario</t>
  </si>
  <si>
    <t>Each segment block shows the full chain from volume attrition to procurement cost to tariff recovery to bad debt to EBIT. The top summary is linked into the deck-ready output sheet.</t>
  </si>
  <si>
    <t>Fixed C&amp;I EBIT</t>
  </si>
  <si>
    <t>Indexed C&amp;I EBIT</t>
  </si>
  <si>
    <t>Other Retail EBIT</t>
  </si>
  <si>
    <t>Portfolio EBIT</t>
  </si>
  <si>
    <t>Sum of segment EBITs</t>
  </si>
  <si>
    <t>Fixed-price margin at risk</t>
  </si>
  <si>
    <t>Fixed C&amp;I — detailed build-up</t>
  </si>
  <si>
    <t>Volume after attrition</t>
  </si>
  <si>
    <t>Procurement cost</t>
  </si>
  <si>
    <t>Tariff</t>
  </si>
  <si>
    <t>PHP/kWh</t>
  </si>
  <si>
    <t>Revenue</t>
  </si>
  <si>
    <t>Energy cost</t>
  </si>
  <si>
    <t>Bad debt</t>
  </si>
  <si>
    <t>Opex</t>
  </si>
  <si>
    <t>EBIT</t>
  </si>
  <si>
    <t>Indexed C&amp;I — detailed build-up</t>
  </si>
  <si>
    <t>Other Retail — detailed build-up</t>
  </si>
  <si>
    <t>Liquidity Stress Inputs</t>
  </si>
  <si>
    <t>Coal_inventory_days</t>
  </si>
  <si>
    <t>Target on-hand coal days</t>
  </si>
  <si>
    <t>Gas_inventory_days</t>
  </si>
  <si>
    <t>LNG / gas working-stock days</t>
  </si>
  <si>
    <t>Oil_inventory_days</t>
  </si>
  <si>
    <t>Oil product inventory days</t>
  </si>
  <si>
    <t>Coal_payables_days</t>
  </si>
  <si>
    <t>Effective supplier terms</t>
  </si>
  <si>
    <t>Gas_payables_days</t>
  </si>
  <si>
    <t>Effective LNG payment terms</t>
  </si>
  <si>
    <t>Oil_payables_days</t>
  </si>
  <si>
    <t>Effective oil payment terms</t>
  </si>
  <si>
    <t>LC_margin_Base</t>
  </si>
  <si>
    <t>LC / collateral margin base case</t>
  </si>
  <si>
    <t>LC_margin_30d</t>
  </si>
  <si>
    <t>LC / collateral margin for 30-day stress</t>
  </si>
  <si>
    <t>LC_margin_90d</t>
  </si>
  <si>
    <t>LC / collateral margin for 90-day stress</t>
  </si>
  <si>
    <t>LC_margin_180d</t>
  </si>
  <si>
    <t>LC / collateral margin for 180-day stress</t>
  </si>
  <si>
    <t>Starting_cash_PHP_mn</t>
  </si>
  <si>
    <t>PHP mn</t>
  </si>
  <si>
    <t>Illustrative starting cash</t>
  </si>
  <si>
    <t>Undrawn_facilities_PHP_mn</t>
  </si>
  <si>
    <t>Illustrative undrawn committed facilities</t>
  </si>
  <si>
    <t>Minimum_cash_buffer_PHP_mn</t>
  </si>
  <si>
    <t>Liquidity floor / board buffer</t>
  </si>
  <si>
    <t>Debt_service_PHP_mn_per_month</t>
  </si>
  <si>
    <t>Illustrative monthly debt service</t>
  </si>
  <si>
    <t>Net_debt_PHP_mn</t>
  </si>
  <si>
    <t>Illustrative net debt for covenant headroom</t>
  </si>
  <si>
    <t>Base_EBITDA_annual_PHP_mn</t>
  </si>
  <si>
    <t>Illustrative annual EBITDA</t>
  </si>
  <si>
    <t>Covenant_max_ND_EBITDA</t>
  </si>
  <si>
    <t>Maximum net debt / EBITDA covenant</t>
  </si>
  <si>
    <t>AGRA-style regulatory recovery inputs</t>
  </si>
  <si>
    <t>Parameter</t>
  </si>
  <si>
    <t>ImmediateRecovery_pct</t>
  </si>
  <si>
    <t>Scenario share of monthly generation cost shock billed / recovered immediately</t>
  </si>
  <si>
    <t>Disallowance_pct</t>
  </si>
  <si>
    <t>Scenario share of generation cost adjustment flagged / refunded after verification</t>
  </si>
  <si>
    <t>CustomerCollectionLag_days</t>
  </si>
  <si>
    <t>Placeholder monthly billing / collection lag</t>
  </si>
  <si>
    <t>RefundLag_months</t>
  </si>
  <si>
    <t>months</t>
  </si>
  <si>
    <t>Refund timing lag after ERC verification / refund order</t>
  </si>
  <si>
    <t>TrueUpHorizon_months</t>
  </si>
  <si>
    <t>Regulatory receivable amortization / staggering horizon</t>
  </si>
  <si>
    <t>CarryingCost_pct_pa</t>
  </si>
  <si>
    <t>Carrying cost on deferred regulatory receivable balance</t>
  </si>
  <si>
    <t>Module 3 — 30 / 90 / 180-Day Liquidity Stress</t>
  </si>
  <si>
    <t>Base/30/90/180 columns intentionally mirror the RFP sample structure. 30 Days maps to S1, 90 Days to S2, 180 Days to S3 via 04_HorizonMap. This version adds an auditable AGRA-style recovery engine for billed generation charge adjustments, refunds, and deferred regulatory receivables.</t>
  </si>
  <si>
    <t>Coal fuel spend</t>
  </si>
  <si>
    <t>Gas fuel spend</t>
  </si>
  <si>
    <t>Oil fuel spend</t>
  </si>
  <si>
    <t>Total fuel spend</t>
  </si>
  <si>
    <t>Coal net WC days</t>
  </si>
  <si>
    <t>Coal working capital</t>
  </si>
  <si>
    <t>Gas net WC days</t>
  </si>
  <si>
    <t>Gas working capital</t>
  </si>
  <si>
    <t>Oil net WC days</t>
  </si>
  <si>
    <t>Oil working capital</t>
  </si>
  <si>
    <t>Working Capital</t>
  </si>
  <si>
    <t>Sum of coal + gas + oil working capital</t>
  </si>
  <si>
    <t>LC margin</t>
  </si>
  <si>
    <t>LC Requirements</t>
  </si>
  <si>
    <t>Total fuel spend × LC margin</t>
  </si>
  <si>
    <t>Operating contribution</t>
  </si>
  <si>
    <t>Cash flow compression</t>
  </si>
  <si>
    <t>Horizon months</t>
  </si>
  <si>
    <t>Starting liquidity</t>
  </si>
  <si>
    <t>Debt service cumulative</t>
  </si>
  <si>
    <t>Cash Balance</t>
  </si>
  <si>
    <t>Starting liquidity less WC, LC, burn, debt service, deferred regulatory receivable, and refund provision</t>
  </si>
  <si>
    <t>Stress EBITDA annual</t>
  </si>
  <si>
    <t>Max allowable net debt</t>
  </si>
  <si>
    <t>Covenant Headroom</t>
  </si>
  <si>
    <t>Max allowable net debt - actual net debt</t>
  </si>
  <si>
    <t>Minimum cash buffer</t>
  </si>
  <si>
    <t>Buffer headroom</t>
  </si>
  <si>
    <t>Liquidity runway</t>
  </si>
  <si>
    <t>Days to min cash buffer after one-time stress draw and monthly regulatory recovery drag</t>
  </si>
  <si>
    <t>Incremental gen cost subject to recovery</t>
  </si>
  <si>
    <t>Monthly shock increment vs base total fuel spend (proxy for pass-through eligible generation cost)</t>
  </si>
  <si>
    <t>Immediate recovery ratio</t>
  </si>
  <si>
    <t>Linked regulatory recovery assumption</t>
  </si>
  <si>
    <t>Monthly billed gen charge adj.</t>
  </si>
  <si>
    <t>Monthly billed generation charge adjustment</t>
  </si>
  <si>
    <t>Monthly deferred amount</t>
  </si>
  <si>
    <t>Unrecovered portion deferred into regulatory receivable</t>
  </si>
  <si>
    <t>Disallowance pct</t>
  </si>
  <si>
    <t>Linked refund / disallowance assumption</t>
  </si>
  <si>
    <t>Monthly refund provision</t>
  </si>
  <si>
    <t>Potential refund / clawback after verification</t>
  </si>
  <si>
    <t>Collection months within horizon</t>
  </si>
  <si>
    <t>Monthly bills collected after customer lag</t>
  </si>
  <si>
    <t>Cash collected within horizon</t>
  </si>
  <si>
    <t>Informational timing output; not directly added to base liquidity model</t>
  </si>
  <si>
    <t>True-up horizon</t>
  </si>
  <si>
    <t>Linked true-up horizon</t>
  </si>
  <si>
    <t>Carrying cost p.a.</t>
  </si>
  <si>
    <t>Linked carrying cost</t>
  </si>
  <si>
    <t>Roll-forward multiplier</t>
  </si>
  <si>
    <t>Monthly regulatory asset roll-forward factor</t>
  </si>
  <si>
    <t>Regulatory receivable balance</t>
  </si>
  <si>
    <t>Closed-form balance for repeated monthly deferrals over the horizon</t>
  </si>
  <si>
    <t>Refund provision cumulative</t>
  </si>
  <si>
    <t>Cumulative refund cash-out within the horizon</t>
  </si>
  <si>
    <t>Module 4 — Trigger Matrix and Operating Playbook</t>
  </si>
  <si>
    <t>Current levels and duration counters are editable monitoring inputs. The status field updates automatically and links market conditions to actions.</t>
  </si>
  <si>
    <t>Trigger</t>
  </si>
  <si>
    <t>Operator</t>
  </si>
  <si>
    <t>Current level</t>
  </si>
  <si>
    <t>Threshold</t>
  </si>
  <si>
    <t>Duration actual</t>
  </si>
  <si>
    <t>Duration threshold</t>
  </si>
  <si>
    <t>Action</t>
  </si>
  <si>
    <t>&gt;</t>
  </si>
  <si>
    <t>Activate hedging review / revise procurement cover</t>
  </si>
  <si>
    <t>Review gas dispatch / emergency LNG sourcing</t>
  </si>
  <si>
    <t>Reassess FX hedging / collateral plan</t>
  </si>
  <si>
    <t>WESM</t>
  </si>
  <si>
    <t>Retail repricing review / reserve bidding posture</t>
  </si>
  <si>
    <t>Gas availability</t>
  </si>
  <si>
    <t>&lt;</t>
  </si>
  <si>
    <t>Activate alternate dispatch / oil backup plan</t>
  </si>
  <si>
    <t>Coal delay</t>
  </si>
  <si>
    <t>Increase inventory buffer / alternate logistics</t>
  </si>
  <si>
    <t>Deck-ready Outputs (matches RFP sample structures)</t>
  </si>
  <si>
    <t>This sheet is designed to be copied directly into the proposal or final board deck. It mirrors the sample structures shown in the RFP (pages 5–6).</t>
  </si>
  <si>
    <t>Scenario Matrix</t>
  </si>
  <si>
    <t>Linked to Module 1 scenario inputs</t>
  </si>
  <si>
    <t>Linked DES basis vs JKM; see 10_FuelLanding for full basis + regas + delay split</t>
  </si>
  <si>
    <t>Linked LNG throughput / availability multiplier used in WESM + reserve</t>
  </si>
  <si>
    <t>Generation Sensitivity Table</t>
  </si>
  <si>
    <t>Source</t>
  </si>
  <si>
    <t>12_PlantSRMC!row 12</t>
  </si>
  <si>
    <t>12_PlantSRMC!row 21</t>
  </si>
  <si>
    <t>12_PlantSRMC!row 28</t>
  </si>
  <si>
    <t>13_MeritOrder_WESM!row 16</t>
  </si>
  <si>
    <t>14_ReservePricing!row 7</t>
  </si>
  <si>
    <t>Generation Gross Margin</t>
  </si>
  <si>
    <t>15_GenMargin!row 20</t>
  </si>
  <si>
    <t>Supply &amp; Retail Margin Sensitivity</t>
  </si>
  <si>
    <t>Portfolio Segment</t>
  </si>
  <si>
    <t>BCQ Exposure</t>
  </si>
  <si>
    <t>21_SupplyWholesale_Margin!row 7</t>
  </si>
  <si>
    <t>Spot Sales</t>
  </si>
  <si>
    <t>21_SupplyWholesale_Margin!row 8</t>
  </si>
  <si>
    <t>Retail Fixed</t>
  </si>
  <si>
    <t>31_Retail_EBIT!row 6</t>
  </si>
  <si>
    <t>31_Retail_EBIT!row 9</t>
  </si>
  <si>
    <t>Supply &amp; Wholesale Margin</t>
  </si>
  <si>
    <t>21_SupplyWholesale_Margin!row 12</t>
  </si>
  <si>
    <t>Liquidity Stress Structure</t>
  </si>
  <si>
    <t>41_Liquidity_Model!row 16</t>
  </si>
  <si>
    <t>41_Liquidity_Model!row 18</t>
  </si>
  <si>
    <t>41_Liquidity_Model!row 24</t>
  </si>
  <si>
    <t>41_Liquidity_Model!row 27</t>
  </si>
  <si>
    <t>Liquidity Runway</t>
  </si>
  <si>
    <t>41_Liquidity_Model!row 30</t>
  </si>
  <si>
    <t>41_Liquidity_Model!row 42</t>
  </si>
  <si>
    <t>41_Liquidity_Model!row 32</t>
  </si>
  <si>
    <t>Refund provision</t>
  </si>
  <si>
    <t>41_Liquidity_Model!row 43</t>
  </si>
  <si>
    <t>Trigger Matrix Summary</t>
  </si>
  <si>
    <t>Current</t>
  </si>
  <si>
    <t>Model Checks and Tie-outs</t>
  </si>
  <si>
    <t>The checks below are intentionally simple and transparent. They are designed to flag missing inputs, sign errors, merit-order inconsistencies, bridge tie-out issues, and liquidity pressure.</t>
  </si>
  <si>
    <t>Check</t>
  </si>
  <si>
    <t>Value / Note</t>
  </si>
  <si>
    <t>Scenario inputs complete</t>
  </si>
  <si>
    <t>56 filled cells</t>
  </si>
  <si>
    <t>All scenario input cells populated</t>
  </si>
  <si>
    <t>Coal SRMC positive in all scenarios</t>
  </si>
  <si>
    <t>&gt;0</t>
  </si>
  <si>
    <t>No negative SRMCs</t>
  </si>
  <si>
    <t>Gas availability bounded 0-100%</t>
  </si>
  <si>
    <t>0% to 100%</t>
  </si>
  <si>
    <t>Availability multipliers valid</t>
  </si>
  <si>
    <t>Merit order monotonic in all scenarios</t>
  </si>
  <si>
    <t>OK</t>
  </si>
  <si>
    <t>Coal &lt;= Gas &lt;= Oil SRMC</t>
  </si>
  <si>
    <t>Supply bridge ties — S1</t>
  </si>
  <si>
    <t>+/-0.01</t>
  </si>
  <si>
    <t>Scenario 1 bridge reconciliation</t>
  </si>
  <si>
    <t>Supply bridge ties — S2</t>
  </si>
  <si>
    <t>Scenario 2 bridge reconciliation</t>
  </si>
  <si>
    <t>Supply bridge ties — S3</t>
  </si>
  <si>
    <t>Scenario 3 bridge reconciliation</t>
  </si>
  <si>
    <t>Retail EBIT summary ties</t>
  </si>
  <si>
    <t>Base portfolio EBIT equals segment sum</t>
  </si>
  <si>
    <t>Base cash balance above minimum buffer</t>
  </si>
  <si>
    <t>&gt;=0</t>
  </si>
  <si>
    <t>Base liquidity above board buffer</t>
  </si>
  <si>
    <t>Outputs WESM link check</t>
  </si>
  <si>
    <t>0</t>
  </si>
  <si>
    <t>Deck-ready WESM output must tie exactly to merit-order sheet</t>
  </si>
  <si>
    <t>Overall model status</t>
  </si>
  <si>
    <t>0 flags target</t>
  </si>
  <si>
    <t>If any FLAG remains, review assumptions or formulas.</t>
  </si>
  <si>
    <t>Change log — workbook updates made for realism / traceability</t>
  </si>
  <si>
    <t>01_Constants</t>
  </si>
  <si>
    <t>Added GAR-to-CV conversion factor and GAR 5000 / 5250 / 5500 CV cases with comments.</t>
  </si>
  <si>
    <t>Repurposed LNG ship+regas input into DES basis and renamed gas throughput to LNG_Availability_pct.</t>
  </si>
  <si>
    <t>Coal now normalized on a GJ basis; LNG now split into JKM + DES basis + regas + delay/demurrage.</t>
  </si>
  <si>
    <t>11_Plants</t>
  </si>
  <si>
    <t>Added coal GAR selector / CV lookup; updated HELE coal heat rate default and gas heat-rate comments.</t>
  </si>
  <si>
    <t>Coal SRMC now uses PHP/GJ landed cost normalization; gas SRMC linked to DES LNG landed cost build-up.</t>
  </si>
  <si>
    <t>40_Liquidity_Inputs</t>
  </si>
  <si>
    <t>Added AGRA-style recovery / disallowance / true-up / carrying-cost input block; refined gas/oil payables placeholders to avoid unrealistic negative working-capital outputs.</t>
  </si>
  <si>
    <t>Added monthly regulatory recovery engine and linked it into cash balance / runway outputs.</t>
  </si>
  <si>
    <t>Added regulatory receivable balance, immediate recovery ratio, and refund provision to liquidity outputs.</t>
  </si>
  <si>
    <t>13/14_MeritOrder_WESM</t>
  </si>
  <si>
    <t>Retained realistic Luzon stack; LNG_Availability_pct continues to drive gas capacity and reserve scarcity.</t>
  </si>
  <si>
    <t>Added propagation checks for coal CV, LNG landed cost link, AGRA output link, and S3 oil marginality.</t>
  </si>
  <si>
    <t>02_Inputs_Base</t>
  </si>
  <si>
    <t>Added renewable block-shape inputs, hydro energy-budget proxy, and SPC sensitivity toggle with source comments.</t>
  </si>
  <si>
    <t>Recalibrated solar/wind profiles via 02_Inputs_Base links, added hydro energy-budget scaling and optional SPC capping logic.</t>
  </si>
  <si>
    <t>AGRA output link check</t>
  </si>
  <si>
    <t>Deck-ready AGRA outputs must tie exactly to liquidity engine</t>
  </si>
  <si>
    <t>Coal CV and LNG landed-cost propagation</t>
  </si>
  <si>
    <t>&lt;0.0001</t>
  </si>
  <si>
    <t>GAR-selected coal CV and DES LNG landed-cost links must propagate end-to-end</t>
  </si>
  <si>
    <t>Scenario 3 peak marginal cluster = Oil</t>
  </si>
  <si>
    <t>Confirms severe disruption can push peak Luzon marginal setter to oil</t>
  </si>
  <si>
    <t>Solar selected-season CF anchor</t>
  </si>
  <si>
    <t>16% +/-1%</t>
  </si>
  <si>
    <t>Selected-season implied solar CF should align to NGCP planning anchor</t>
  </si>
  <si>
    <t>Wind selected-season CF anchor</t>
  </si>
  <si>
    <t>30% +/-2%</t>
  </si>
  <si>
    <t>Selected-season implied wind CF should align to NGCP planning anchor</t>
  </si>
  <si>
    <t>Base LWAP within sanity band</t>
  </si>
  <si>
    <t>3,500 to 5,500</t>
  </si>
  <si>
    <t>Base LWAP proxy sanity check</t>
  </si>
  <si>
    <t>SPC toggle logic not binding when off</t>
  </si>
  <si>
    <t>0 or capped</t>
  </si>
  <si>
    <t>If SPC toggle is off, no cap applied; if on, outputs must not exceed cap</t>
  </si>
  <si>
    <t>Hydro budget scale valid</t>
  </si>
  <si>
    <t>0 to 1</t>
  </si>
  <si>
    <t>Hydro energy-budget scaling factor should be bounded</t>
  </si>
  <si>
    <t>Outputs free of errors</t>
  </si>
  <si>
    <t>Key output ranges should have no #N/A / #DIV/0! / #REF! / #NAME? / #VALUE!</t>
  </si>
  <si>
    <t>Error audit (key ranges)</t>
  </si>
  <si>
    <t>Before</t>
  </si>
  <si>
    <t>After</t>
  </si>
  <si>
    <t>Original file had cached #N/A in audit-note cells plus unquoted cross-sheet formula issues</t>
  </si>
  <si>
    <t>Merit-order range should be clean</t>
  </si>
  <si>
    <t>Deck-ready outputs must contain no errors</t>
  </si>
  <si>
    <t>Total key-range errors</t>
  </si>
  <si>
    <t>Overall key-range error count should be zero after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</si>
</sst>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[Red]\(#,##0.0\);\-"/>
    <numFmt numFmtId="165" formatCode="#,##0.0000000;[Red]\(#,##0.0000000\);\-"/>
    <numFmt numFmtId="166" formatCode="#,##0.000;[Red]\(#,##0.000\);\-"/>
    <numFmt numFmtId="167" formatCode="\$#,##0.0;[Red]&quot;($&quot;#,##0.0\);\-"/>
    <numFmt numFmtId="168" formatCode="#,##0;[Red]\(#,##0\);\-"/>
    <numFmt numFmtId="169" formatCode="0.0%;[Red]\(0.0%\);\-"/>
    <numFmt numFmtId="170" formatCode="0.0\x;[Red]\(0.0&quot;x)&quot;;\-"/>
    <numFmt numFmtId="171" formatCode="yyyy\-mm\-dd"/>
    <numFmt numFmtId="172" formatCode="0;[Red]\(0\);\-"/>
    <numFmt numFmtId="173" formatCode="\₱#,##0.0;[Red]&quot;(₱&quot;#,##0.0\);\-"/>
    <numFmt numFmtId="174" formatCode="\₱#,##0;[Red]&quot;(₱&quot;#,##0\);\-"/>
    <numFmt numFmtId="175" formatCode="0.00\x;[Red]\(0.00&quot;x)&quot;;\-"/>
  </numFmts>
  <fonts count="13" x14ac:knownFonts="1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2"/>
      <color rgb="FFFFFF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008000"/>
      <name val="Calibri"/>
      <charset val="1"/>
    </font>
    <font>
      <sz val="11"/>
      <color rgb="FF666666"/>
      <name val="Calibri"/>
      <charset val="1"/>
    </font>
    <font>
      <b/>
      <sz val="11"/>
      <color rgb="FF7030A0"/>
      <name val="Calibri"/>
      <charset val="1"/>
    </font>
    <font>
      <sz val="11"/>
      <color rgb="FFC55A11"/>
      <name val="Calibri"/>
      <charset val="1"/>
    </font>
    <font>
      <b/>
      <sz val="11"/>
      <color rgb="FFC00000"/>
      <name val="Calibri"/>
      <charset val="1"/>
    </font>
    <font>
      <i/>
      <sz val="10"/>
      <color rgb="FF000000"/>
      <name val="Calibri"/>
      <charset val="1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DDEBF7"/>
      </patternFill>
    </fill>
    <fill>
      <patternFill patternType="solid">
        <fgColor rgb="FFE2F0D9"/>
        <bgColor rgb="FFE7E6E6"/>
      </patternFill>
    </fill>
    <fill>
      <patternFill patternType="solid">
        <fgColor rgb="FFEADCF8"/>
        <bgColor rgb="FFE7E6E6"/>
      </patternFill>
    </fill>
    <fill>
      <patternFill patternType="solid">
        <fgColor rgb="FFF4CCCC"/>
        <bgColor rgb="FFFCE4D6"/>
      </patternFill>
    </fill>
    <fill>
      <patternFill patternType="solid">
        <fgColor rgb="FFDDEBF7"/>
        <bgColor rgb="FFD9EAF7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169" fontId="5" fillId="5" borderId="1" xfId="0" applyNumberFormat="1" applyFont="1" applyFill="1" applyBorder="1" applyAlignment="1">
      <alignment horizontal="right" vertical="center"/>
    </xf>
    <xf numFmtId="170" fontId="6" fillId="0" borderId="1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71" fontId="5" fillId="5" borderId="1" xfId="0" applyNumberFormat="1" applyFont="1" applyFill="1" applyBorder="1" applyAlignment="1">
      <alignment horizontal="right" vertical="center"/>
    </xf>
    <xf numFmtId="172" fontId="5" fillId="5" borderId="1" xfId="0" applyNumberFormat="1" applyFont="1" applyFill="1" applyBorder="1" applyAlignment="1">
      <alignment horizontal="right" vertical="center"/>
    </xf>
    <xf numFmtId="170" fontId="5" fillId="5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67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9" fontId="6" fillId="0" borderId="1" xfId="0" applyNumberFormat="1" applyFont="1" applyBorder="1" applyAlignment="1">
      <alignment horizontal="right" vertical="center"/>
    </xf>
    <xf numFmtId="172" fontId="6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73" fontId="4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1" fillId="4" borderId="1" xfId="0" applyFont="1" applyFill="1" applyBorder="1"/>
    <xf numFmtId="17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6" fontId="1" fillId="0" borderId="1" xfId="0" applyNumberFormat="1" applyFont="1" applyBorder="1" applyAlignment="1">
      <alignment horizontal="left" vertical="center"/>
    </xf>
    <xf numFmtId="174" fontId="5" fillId="5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172" fontId="4" fillId="0" borderId="1" xfId="0" applyNumberFormat="1" applyFont="1" applyBorder="1" applyAlignment="1">
      <alignment horizontal="right" vertical="center"/>
    </xf>
    <xf numFmtId="175" fontId="4" fillId="0" borderId="1" xfId="0" applyNumberFormat="1" applyFont="1" applyBorder="1" applyAlignment="1">
      <alignment horizontal="right" vertical="center"/>
    </xf>
    <xf numFmtId="173" fontId="3" fillId="7" borderId="1" xfId="0" applyNumberFormat="1" applyFont="1" applyFill="1" applyBorder="1" applyAlignment="1">
      <alignment horizontal="right" vertical="center"/>
    </xf>
    <xf numFmtId="168" fontId="3" fillId="7" borderId="1" xfId="0" applyNumberFormat="1" applyFont="1" applyFill="1" applyBorder="1" applyAlignment="1">
      <alignment horizontal="right" vertical="center"/>
    </xf>
    <xf numFmtId="175" fontId="3" fillId="7" borderId="1" xfId="0" applyNumberFormat="1" applyFont="1" applyFill="1" applyBorder="1" applyAlignment="1">
      <alignment horizontal="right" vertical="center"/>
    </xf>
    <xf numFmtId="172" fontId="6" fillId="7" borderId="1" xfId="0" applyNumberFormat="1" applyFont="1" applyFill="1" applyBorder="1" applyAlignment="1">
      <alignment horizontal="right" vertical="center"/>
    </xf>
    <xf numFmtId="167" fontId="6" fillId="7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169" fontId="6" fillId="7" borderId="1" xfId="0" applyNumberFormat="1" applyFont="1" applyFill="1" applyBorder="1" applyAlignment="1">
      <alignment horizontal="right" vertical="center"/>
    </xf>
    <xf numFmtId="168" fontId="6" fillId="7" borderId="1" xfId="0" applyNumberFormat="1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1" fillId="8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3" borderId="1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6" xfId="0" applyBorder="1"/>
    <xf numFmtId="0" fontId="1" fillId="0" borderId="1" xfId="0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11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9EAF7"/>
      <rgbColor rgb="FF660066"/>
      <rgbColor rgb="FFFF8080"/>
      <rgbColor rgb="FF0066CC"/>
      <rgbColor rgb="FFEA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E2F0D9"/>
      <rgbColor rgb="FFE7E6E6"/>
      <rgbColor rgb="FFFCE4D6"/>
      <rgbColor rgb="FFCC99FF"/>
      <rgbColor rgb="FFF4CCCC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zoomScaleNormal="100" workbookViewId="0">
      <selection sqref="A1:G1"/>
    </sheetView>
  </sheetViews>
  <sheetFormatPr baseColWidth="10" defaultColWidth="8.6640625" defaultRowHeight="15" customHeight="1" x14ac:dyDescent="0.15"/>
  <cols>
    <col min="1" max="1" width="22" customWidth="1"/>
    <col min="2" max="2" width="30" customWidth="1"/>
    <col min="3" max="3" width="16" customWidth="1"/>
    <col min="4" max="4" width="2" customWidth="1"/>
    <col min="5" max="5" width="24" customWidth="1"/>
    <col min="6" max="6" width="52" customWidth="1"/>
    <col min="7" max="7" width="16" customWidth="1"/>
  </cols>
  <sheetData>
    <row r="1" spans="1:7" ht="21.75" customHeight="1" x14ac:dyDescent="0.15">
      <c r="A1" s="58" t="s">
        <v>0</v>
      </c>
      <c r="B1" s="59"/>
      <c r="C1" s="59"/>
      <c r="D1" s="59"/>
      <c r="E1" s="59"/>
      <c r="F1" s="59"/>
      <c r="G1" s="59"/>
    </row>
    <row r="2" spans="1:7" ht="13" x14ac:dyDescent="0.15"/>
    <row r="3" spans="1:7" ht="15" customHeight="1" x14ac:dyDescent="0.2">
      <c r="A3" s="2" t="s">
        <v>1</v>
      </c>
    </row>
    <row r="4" spans="1:7" ht="15" customHeight="1" x14ac:dyDescent="0.15">
      <c r="A4" s="66" t="s">
        <v>2</v>
      </c>
      <c r="B4" s="61"/>
      <c r="C4" s="61"/>
      <c r="D4" s="61"/>
      <c r="E4" s="61"/>
      <c r="F4" s="61"/>
      <c r="G4" s="62"/>
    </row>
    <row r="5" spans="1:7" ht="15" customHeight="1" x14ac:dyDescent="0.15">
      <c r="A5" s="67"/>
      <c r="B5" s="59"/>
      <c r="C5" s="59"/>
      <c r="D5" s="59"/>
      <c r="E5" s="59"/>
      <c r="F5" s="59"/>
      <c r="G5" s="68"/>
    </row>
    <row r="6" spans="1:7" ht="15" customHeight="1" x14ac:dyDescent="0.15">
      <c r="A6" s="63"/>
      <c r="B6" s="64"/>
      <c r="C6" s="64"/>
      <c r="D6" s="64"/>
      <c r="E6" s="64"/>
      <c r="F6" s="64"/>
      <c r="G6" s="65"/>
    </row>
    <row r="7" spans="1:7" ht="13" x14ac:dyDescent="0.15"/>
    <row r="8" spans="1:7" ht="15" customHeight="1" x14ac:dyDescent="0.2">
      <c r="A8" s="2" t="s">
        <v>3</v>
      </c>
      <c r="E8" s="2" t="s">
        <v>4</v>
      </c>
    </row>
    <row r="9" spans="1:7" ht="19.5" customHeight="1" x14ac:dyDescent="0.15">
      <c r="A9" s="3" t="s">
        <v>5</v>
      </c>
      <c r="B9" s="3" t="s">
        <v>6</v>
      </c>
      <c r="C9" s="3" t="s">
        <v>7</v>
      </c>
      <c r="E9" s="3" t="s">
        <v>8</v>
      </c>
      <c r="F9" s="3" t="s">
        <v>1</v>
      </c>
    </row>
    <row r="10" spans="1:7" ht="15" customHeight="1" x14ac:dyDescent="0.15">
      <c r="A10" s="4" t="s">
        <v>9</v>
      </c>
      <c r="B10" s="4" t="s">
        <v>10</v>
      </c>
      <c r="C10" s="5" t="s">
        <v>11</v>
      </c>
      <c r="E10" s="4" t="s">
        <v>12</v>
      </c>
      <c r="F10" s="4" t="s">
        <v>13</v>
      </c>
    </row>
    <row r="11" spans="1:7" ht="15" customHeight="1" x14ac:dyDescent="0.15">
      <c r="A11" s="4" t="s">
        <v>14</v>
      </c>
      <c r="B11" s="4" t="s">
        <v>15</v>
      </c>
      <c r="C11" s="6" t="s">
        <v>11</v>
      </c>
      <c r="E11" s="4" t="s">
        <v>16</v>
      </c>
      <c r="F11" s="4" t="s">
        <v>17</v>
      </c>
    </row>
    <row r="12" spans="1:7" ht="15" customHeight="1" x14ac:dyDescent="0.15">
      <c r="A12" s="4" t="s">
        <v>18</v>
      </c>
      <c r="B12" s="4" t="s">
        <v>19</v>
      </c>
      <c r="C12" s="7" t="s">
        <v>11</v>
      </c>
      <c r="E12" s="4" t="s">
        <v>20</v>
      </c>
      <c r="F12" s="4" t="s">
        <v>21</v>
      </c>
    </row>
    <row r="13" spans="1:7" ht="15" customHeight="1" x14ac:dyDescent="0.15">
      <c r="A13" s="4" t="s">
        <v>22</v>
      </c>
      <c r="B13" s="4" t="s">
        <v>23</v>
      </c>
      <c r="C13" s="8" t="s">
        <v>11</v>
      </c>
      <c r="E13" s="4" t="s">
        <v>24</v>
      </c>
      <c r="F13" s="4" t="s">
        <v>25</v>
      </c>
    </row>
    <row r="14" spans="1:7" ht="15" customHeight="1" x14ac:dyDescent="0.15">
      <c r="A14" s="4" t="s">
        <v>26</v>
      </c>
      <c r="B14" s="4" t="s">
        <v>27</v>
      </c>
      <c r="C14" s="9" t="s">
        <v>11</v>
      </c>
      <c r="E14" s="4" t="s">
        <v>28</v>
      </c>
      <c r="F14" s="4" t="s">
        <v>29</v>
      </c>
    </row>
    <row r="15" spans="1:7" ht="15" customHeight="1" x14ac:dyDescent="0.15">
      <c r="A15" s="4" t="s">
        <v>30</v>
      </c>
      <c r="B15" s="4" t="s">
        <v>31</v>
      </c>
      <c r="C15" s="10" t="s">
        <v>11</v>
      </c>
      <c r="E15" s="4" t="s">
        <v>32</v>
      </c>
      <c r="F15" s="4" t="s">
        <v>33</v>
      </c>
    </row>
    <row r="16" spans="1:7" ht="15" customHeight="1" x14ac:dyDescent="0.15">
      <c r="A16" s="4" t="s">
        <v>34</v>
      </c>
      <c r="B16" s="4" t="s">
        <v>35</v>
      </c>
      <c r="C16" s="11" t="s">
        <v>11</v>
      </c>
      <c r="E16" s="4" t="s">
        <v>36</v>
      </c>
      <c r="F16" s="4" t="s">
        <v>37</v>
      </c>
    </row>
    <row r="17" spans="1:7" ht="15" customHeight="1" x14ac:dyDescent="0.15">
      <c r="A17" s="4" t="s">
        <v>38</v>
      </c>
      <c r="B17" s="4" t="s">
        <v>39</v>
      </c>
      <c r="C17" s="12" t="s">
        <v>11</v>
      </c>
      <c r="E17" s="4" t="s">
        <v>40</v>
      </c>
      <c r="F17" s="4" t="s">
        <v>41</v>
      </c>
    </row>
    <row r="18" spans="1:7" ht="15" customHeight="1" x14ac:dyDescent="0.15">
      <c r="E18" s="4" t="s">
        <v>42</v>
      </c>
      <c r="F18" s="4" t="s">
        <v>43</v>
      </c>
    </row>
    <row r="19" spans="1:7" ht="15" customHeight="1" x14ac:dyDescent="0.15">
      <c r="E19" s="4" t="s">
        <v>44</v>
      </c>
      <c r="F19" s="4" t="s">
        <v>45</v>
      </c>
    </row>
    <row r="20" spans="1:7" ht="15" customHeight="1" x14ac:dyDescent="0.15">
      <c r="A20" s="60" t="s">
        <v>46</v>
      </c>
      <c r="B20" s="61"/>
      <c r="C20" s="61"/>
      <c r="D20" s="61"/>
      <c r="E20" s="61"/>
      <c r="F20" s="61"/>
      <c r="G20" s="62"/>
    </row>
    <row r="21" spans="1:7" ht="15" customHeight="1" x14ac:dyDescent="0.15">
      <c r="A21" s="67"/>
      <c r="B21" s="59"/>
      <c r="C21" s="59"/>
      <c r="D21" s="59"/>
      <c r="E21" s="59"/>
      <c r="F21" s="59"/>
      <c r="G21" s="68"/>
    </row>
    <row r="22" spans="1:7" ht="15" customHeight="1" x14ac:dyDescent="0.15">
      <c r="A22" s="63"/>
      <c r="B22" s="64"/>
      <c r="C22" s="64"/>
      <c r="D22" s="64"/>
      <c r="E22" s="64"/>
      <c r="F22" s="64"/>
      <c r="G22" s="65"/>
    </row>
  </sheetData>
  <mergeCells count="3">
    <mergeCell ref="A1:G1"/>
    <mergeCell ref="A4:G6"/>
    <mergeCell ref="A20:G2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zoomScaleNormal="100" workbookViewId="0">
      <selection activeCell="A37" sqref="A37"/>
    </sheetView>
  </sheetViews>
  <sheetFormatPr baseColWidth="10" defaultColWidth="8.6640625" defaultRowHeight="15" customHeight="1" x14ac:dyDescent="0.15"/>
  <cols>
    <col min="1" max="1" width="28" customWidth="1"/>
    <col min="2" max="2" width="16" customWidth="1"/>
    <col min="3" max="3" width="14" customWidth="1"/>
    <col min="4" max="4" width="12" customWidth="1"/>
    <col min="5" max="5" width="65" customWidth="1"/>
  </cols>
  <sheetData>
    <row r="1" spans="1:5" ht="21.75" customHeight="1" x14ac:dyDescent="0.15">
      <c r="A1" s="58" t="s">
        <v>47</v>
      </c>
      <c r="B1" s="59"/>
      <c r="C1" s="59"/>
      <c r="D1" s="59"/>
      <c r="E1" s="59"/>
    </row>
    <row r="2" spans="1:5" ht="13" x14ac:dyDescent="0.15"/>
    <row r="3" spans="1:5" ht="19.5" customHeight="1" x14ac:dyDescent="0.15">
      <c r="A3" s="3" t="s">
        <v>48</v>
      </c>
      <c r="B3" s="3" t="s">
        <v>49</v>
      </c>
      <c r="C3" s="3" t="s">
        <v>50</v>
      </c>
      <c r="D3" s="3" t="s">
        <v>5</v>
      </c>
      <c r="E3" s="3" t="s">
        <v>51</v>
      </c>
    </row>
    <row r="4" spans="1:5" ht="28.25" customHeight="1" x14ac:dyDescent="0.15">
      <c r="A4" s="13" t="s">
        <v>52</v>
      </c>
      <c r="B4" s="14">
        <v>3.6</v>
      </c>
      <c r="C4" s="4" t="s">
        <v>53</v>
      </c>
      <c r="D4" s="15" t="s">
        <v>54</v>
      </c>
      <c r="E4" s="16" t="s">
        <v>55</v>
      </c>
    </row>
    <row r="5" spans="1:5" ht="28.25" customHeight="1" x14ac:dyDescent="0.15">
      <c r="A5" s="13" t="s">
        <v>56</v>
      </c>
      <c r="B5" s="14">
        <v>1.055056</v>
      </c>
      <c r="C5" s="4" t="s">
        <v>57</v>
      </c>
      <c r="D5" s="15" t="s">
        <v>54</v>
      </c>
      <c r="E5" s="16" t="s">
        <v>55</v>
      </c>
    </row>
    <row r="6" spans="1:5" ht="28.25" customHeight="1" x14ac:dyDescent="0.15">
      <c r="A6" s="13" t="s">
        <v>58</v>
      </c>
      <c r="B6" s="14">
        <v>5.8</v>
      </c>
      <c r="C6" s="4" t="s">
        <v>59</v>
      </c>
      <c r="D6" s="15" t="s">
        <v>54</v>
      </c>
      <c r="E6" s="16" t="s">
        <v>60</v>
      </c>
    </row>
    <row r="7" spans="1:5" ht="15" customHeight="1" x14ac:dyDescent="0.15">
      <c r="A7" s="13" t="s">
        <v>61</v>
      </c>
      <c r="B7" s="17">
        <f>B5*B6</f>
        <v>6.1193247999999993</v>
      </c>
      <c r="C7" s="4" t="s">
        <v>62</v>
      </c>
      <c r="D7" s="15" t="s">
        <v>63</v>
      </c>
      <c r="E7" s="16" t="s">
        <v>64</v>
      </c>
    </row>
    <row r="8" spans="1:5" ht="15" customHeight="1" x14ac:dyDescent="0.15">
      <c r="A8" s="13" t="s">
        <v>65</v>
      </c>
      <c r="B8" s="14">
        <v>1000</v>
      </c>
      <c r="C8" s="4" t="s">
        <v>66</v>
      </c>
      <c r="D8" s="15" t="s">
        <v>54</v>
      </c>
      <c r="E8" s="16" t="s">
        <v>67</v>
      </c>
    </row>
    <row r="9" spans="1:5" ht="15" customHeight="1" x14ac:dyDescent="0.15">
      <c r="A9" s="13" t="s">
        <v>68</v>
      </c>
      <c r="B9" s="18">
        <v>4.1868000000000001E-3</v>
      </c>
      <c r="C9" s="4" t="s">
        <v>69</v>
      </c>
      <c r="D9" s="15" t="s">
        <v>54</v>
      </c>
      <c r="E9" s="16" t="s">
        <v>70</v>
      </c>
    </row>
    <row r="10" spans="1:5" ht="15" customHeight="1" x14ac:dyDescent="0.15">
      <c r="A10" s="13" t="s">
        <v>71</v>
      </c>
      <c r="B10" s="19">
        <f>5000*$B$9</f>
        <v>20.934000000000001</v>
      </c>
      <c r="C10" s="4" t="s">
        <v>72</v>
      </c>
      <c r="D10" s="15" t="s">
        <v>63</v>
      </c>
      <c r="E10" s="16" t="s">
        <v>73</v>
      </c>
    </row>
    <row r="11" spans="1:5" ht="15" customHeight="1" x14ac:dyDescent="0.15">
      <c r="A11" s="13" t="s">
        <v>74</v>
      </c>
      <c r="B11" s="19">
        <f>5250*$B$9</f>
        <v>21.980699999999999</v>
      </c>
      <c r="C11" s="4" t="s">
        <v>72</v>
      </c>
      <c r="D11" s="15" t="s">
        <v>63</v>
      </c>
      <c r="E11" s="16" t="s">
        <v>75</v>
      </c>
    </row>
    <row r="12" spans="1:5" ht="15" customHeight="1" x14ac:dyDescent="0.15">
      <c r="A12" s="13" t="s">
        <v>76</v>
      </c>
      <c r="B12" s="19">
        <f>5500*$B$9</f>
        <v>23.0274</v>
      </c>
      <c r="C12" s="4" t="s">
        <v>72</v>
      </c>
      <c r="D12" s="15" t="s">
        <v>63</v>
      </c>
      <c r="E12" s="16" t="s">
        <v>77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"/>
  <sheetViews>
    <sheetView showGridLines="0" zoomScaleNormal="100" workbookViewId="0">
      <selection sqref="A1:F1"/>
    </sheetView>
  </sheetViews>
  <sheetFormatPr baseColWidth="10" defaultColWidth="8.6640625" defaultRowHeight="15" customHeight="1" x14ac:dyDescent="0.15"/>
  <cols>
    <col min="1" max="1" width="28" customWidth="1"/>
    <col min="2" max="3" width="16" customWidth="1"/>
    <col min="4" max="4" width="12" customWidth="1"/>
    <col min="5" max="5" width="60" customWidth="1"/>
    <col min="8" max="8" width="18" customWidth="1"/>
    <col min="9" max="9" width="14" customWidth="1"/>
    <col min="10" max="10" width="12" customWidth="1"/>
    <col min="11" max="12" width="13" customWidth="1"/>
    <col min="13" max="13" width="46" customWidth="1"/>
  </cols>
  <sheetData>
    <row r="1" spans="1:13" ht="21.75" customHeight="1" x14ac:dyDescent="0.15">
      <c r="A1" s="58" t="s">
        <v>78</v>
      </c>
      <c r="B1" s="59"/>
      <c r="C1" s="59"/>
      <c r="D1" s="59"/>
      <c r="E1" s="59"/>
      <c r="F1" s="59"/>
      <c r="H1" s="58" t="s">
        <v>79</v>
      </c>
      <c r="I1" s="59"/>
      <c r="J1" s="59"/>
      <c r="K1" s="59"/>
      <c r="L1" s="59"/>
      <c r="M1" s="59"/>
    </row>
    <row r="2" spans="1:13" ht="15" customHeight="1" x14ac:dyDescent="0.15">
      <c r="H2" s="69" t="s">
        <v>80</v>
      </c>
      <c r="I2" s="70"/>
      <c r="J2" s="70"/>
      <c r="K2" s="70"/>
      <c r="L2" s="70"/>
      <c r="M2" s="71"/>
    </row>
    <row r="3" spans="1:13" ht="19.5" customHeight="1" x14ac:dyDescent="0.15">
      <c r="A3" s="3" t="s">
        <v>81</v>
      </c>
      <c r="B3" s="3" t="s">
        <v>49</v>
      </c>
      <c r="C3" s="3" t="s">
        <v>50</v>
      </c>
      <c r="D3" s="3" t="s">
        <v>5</v>
      </c>
      <c r="E3" s="3" t="s">
        <v>82</v>
      </c>
      <c r="H3" s="3" t="s">
        <v>83</v>
      </c>
      <c r="I3" s="3" t="s">
        <v>49</v>
      </c>
      <c r="J3" s="3" t="s">
        <v>50</v>
      </c>
      <c r="K3" s="3" t="s">
        <v>84</v>
      </c>
      <c r="L3" s="3" t="s">
        <v>5</v>
      </c>
      <c r="M3" s="3" t="s">
        <v>82</v>
      </c>
    </row>
    <row r="4" spans="1:13" ht="28.25" customHeight="1" x14ac:dyDescent="0.15">
      <c r="A4" s="13" t="s">
        <v>85</v>
      </c>
      <c r="B4" s="20">
        <v>10</v>
      </c>
      <c r="C4" s="4" t="s">
        <v>86</v>
      </c>
      <c r="D4" s="15" t="s">
        <v>81</v>
      </c>
      <c r="E4" s="16" t="s">
        <v>87</v>
      </c>
      <c r="H4" s="4" t="s">
        <v>88</v>
      </c>
      <c r="I4" s="21" t="s">
        <v>89</v>
      </c>
      <c r="J4" s="4" t="s">
        <v>90</v>
      </c>
      <c r="K4" s="22" t="str">
        <f>I4</f>
        <v>Hot-dry</v>
      </c>
      <c r="L4" s="4" t="s">
        <v>81</v>
      </c>
      <c r="M4" s="4" t="s">
        <v>91</v>
      </c>
    </row>
    <row r="5" spans="1:13" ht="15" customHeight="1" x14ac:dyDescent="0.15">
      <c r="A5" s="13" t="s">
        <v>92</v>
      </c>
      <c r="B5" s="23">
        <v>700000</v>
      </c>
      <c r="C5" s="4" t="s">
        <v>93</v>
      </c>
      <c r="D5" s="15" t="s">
        <v>81</v>
      </c>
      <c r="E5" s="16" t="s">
        <v>94</v>
      </c>
    </row>
    <row r="6" spans="1:13" ht="15" customHeight="1" x14ac:dyDescent="0.15">
      <c r="A6" s="13" t="s">
        <v>95</v>
      </c>
      <c r="B6" s="23">
        <v>250000</v>
      </c>
      <c r="C6" s="4" t="s">
        <v>93</v>
      </c>
      <c r="D6" s="15" t="s">
        <v>81</v>
      </c>
      <c r="E6" s="16" t="s">
        <v>96</v>
      </c>
      <c r="H6" s="3" t="s">
        <v>97</v>
      </c>
      <c r="I6" s="3" t="s">
        <v>98</v>
      </c>
      <c r="J6" s="3" t="s">
        <v>99</v>
      </c>
      <c r="K6" s="3" t="s">
        <v>100</v>
      </c>
      <c r="L6" s="3" t="s">
        <v>101</v>
      </c>
      <c r="M6" s="3" t="s">
        <v>82</v>
      </c>
    </row>
    <row r="7" spans="1:13" ht="15" customHeight="1" x14ac:dyDescent="0.15">
      <c r="A7" s="13" t="s">
        <v>102</v>
      </c>
      <c r="B7" s="23">
        <v>10000</v>
      </c>
      <c r="C7" s="4" t="s">
        <v>93</v>
      </c>
      <c r="D7" s="15" t="s">
        <v>81</v>
      </c>
      <c r="E7" s="16" t="s">
        <v>103</v>
      </c>
      <c r="H7" s="4" t="s">
        <v>89</v>
      </c>
      <c r="I7" s="24">
        <v>1.02</v>
      </c>
      <c r="J7" s="24">
        <v>0.95</v>
      </c>
      <c r="K7" s="24">
        <v>0.85</v>
      </c>
      <c r="L7" s="24">
        <v>1.05</v>
      </c>
      <c r="M7" s="4" t="s">
        <v>104</v>
      </c>
    </row>
    <row r="8" spans="1:13" ht="15" customHeight="1" x14ac:dyDescent="0.15">
      <c r="A8" s="13" t="s">
        <v>105</v>
      </c>
      <c r="B8" s="23">
        <v>11600</v>
      </c>
      <c r="C8" s="4" t="s">
        <v>106</v>
      </c>
      <c r="D8" s="15" t="s">
        <v>81</v>
      </c>
      <c r="E8" s="16" t="s">
        <v>107</v>
      </c>
      <c r="H8" s="4" t="s">
        <v>108</v>
      </c>
      <c r="I8" s="24">
        <v>0.8</v>
      </c>
      <c r="J8" s="24">
        <v>1.05</v>
      </c>
      <c r="K8" s="24">
        <v>1.1000000000000001</v>
      </c>
      <c r="L8" s="24">
        <v>1</v>
      </c>
      <c r="M8" s="4" t="s">
        <v>109</v>
      </c>
    </row>
    <row r="9" spans="1:13" ht="15" customHeight="1" x14ac:dyDescent="0.15">
      <c r="A9" s="13" t="s">
        <v>110</v>
      </c>
      <c r="B9" s="23">
        <v>50000</v>
      </c>
      <c r="C9" s="4" t="s">
        <v>111</v>
      </c>
      <c r="D9" s="15" t="s">
        <v>81</v>
      </c>
      <c r="E9" s="16" t="s">
        <v>112</v>
      </c>
      <c r="H9" s="4" t="s">
        <v>113</v>
      </c>
      <c r="I9" s="24">
        <v>0.95</v>
      </c>
      <c r="J9" s="24">
        <v>1</v>
      </c>
      <c r="K9" s="24">
        <v>0.95</v>
      </c>
      <c r="L9" s="24">
        <v>0.97</v>
      </c>
      <c r="M9" s="4" t="s">
        <v>114</v>
      </c>
    </row>
    <row r="10" spans="1:13" ht="13" x14ac:dyDescent="0.15"/>
    <row r="11" spans="1:13" ht="15" customHeight="1" x14ac:dyDescent="0.15">
      <c r="H11" s="3" t="s">
        <v>115</v>
      </c>
      <c r="I11" s="3" t="s">
        <v>116</v>
      </c>
      <c r="J11" s="3" t="s">
        <v>50</v>
      </c>
      <c r="K11" s="3" t="s">
        <v>117</v>
      </c>
      <c r="L11" s="3" t="s">
        <v>5</v>
      </c>
      <c r="M11" s="3" t="s">
        <v>82</v>
      </c>
    </row>
    <row r="12" spans="1:13" ht="15" customHeight="1" x14ac:dyDescent="0.15">
      <c r="H12" s="4" t="s">
        <v>98</v>
      </c>
      <c r="I12" s="25">
        <f>IF($I$4="Hot-dry",$I$7,IF($I$4="Wet",$I$8,$I$9))</f>
        <v>1.02</v>
      </c>
      <c r="J12" s="4" t="s">
        <v>118</v>
      </c>
      <c r="K12" s="25">
        <f>I12</f>
        <v>1.02</v>
      </c>
      <c r="L12" s="4" t="s">
        <v>116</v>
      </c>
      <c r="M12" s="4" t="s">
        <v>119</v>
      </c>
    </row>
    <row r="13" spans="1:13" ht="15" customHeight="1" x14ac:dyDescent="0.15">
      <c r="H13" s="4" t="s">
        <v>99</v>
      </c>
      <c r="I13" s="25">
        <f>IF($I$4="Hot-dry",$J$7,IF($I$4="Wet",$J$8,$J$9))</f>
        <v>0.95</v>
      </c>
      <c r="J13" s="4" t="s">
        <v>118</v>
      </c>
      <c r="K13" s="25">
        <f>I13</f>
        <v>0.95</v>
      </c>
      <c r="L13" s="4" t="s">
        <v>116</v>
      </c>
      <c r="M13" s="4" t="s">
        <v>119</v>
      </c>
    </row>
    <row r="14" spans="1:13" ht="15" customHeight="1" x14ac:dyDescent="0.15">
      <c r="H14" s="4" t="s">
        <v>100</v>
      </c>
      <c r="I14" s="25">
        <f>IF($I$4="Hot-dry",$K$7,IF($I$4="Wet",$K$8,$K$9))</f>
        <v>0.85</v>
      </c>
      <c r="J14" s="4" t="s">
        <v>118</v>
      </c>
      <c r="K14" s="25">
        <f>I14</f>
        <v>0.85</v>
      </c>
      <c r="L14" s="4" t="s">
        <v>116</v>
      </c>
      <c r="M14" s="4" t="s">
        <v>119</v>
      </c>
    </row>
    <row r="15" spans="1:13" ht="15" customHeight="1" x14ac:dyDescent="0.15">
      <c r="H15" s="4" t="s">
        <v>101</v>
      </c>
      <c r="I15" s="25">
        <f>IF($I$4="Hot-dry",$L$7,IF($I$4="Wet",$L$8,$L$9))</f>
        <v>1.05</v>
      </c>
      <c r="J15" s="4" t="s">
        <v>118</v>
      </c>
      <c r="K15" s="25">
        <f>I15</f>
        <v>1.05</v>
      </c>
      <c r="L15" s="4" t="s">
        <v>116</v>
      </c>
      <c r="M15" s="4" t="s">
        <v>119</v>
      </c>
    </row>
    <row r="16" spans="1:13" ht="15" customHeight="1" x14ac:dyDescent="0.15">
      <c r="H16" s="58" t="s">
        <v>120</v>
      </c>
      <c r="I16" s="59"/>
      <c r="J16" s="59"/>
      <c r="K16" s="59"/>
      <c r="L16" s="59"/>
      <c r="M16" s="59"/>
    </row>
    <row r="17" spans="8:13" ht="15" customHeight="1" x14ac:dyDescent="0.15">
      <c r="H17" s="3" t="s">
        <v>121</v>
      </c>
      <c r="I17" s="3" t="s">
        <v>122</v>
      </c>
      <c r="J17" s="3" t="s">
        <v>123</v>
      </c>
      <c r="K17" s="3" t="s">
        <v>101</v>
      </c>
      <c r="L17" s="3" t="s">
        <v>124</v>
      </c>
      <c r="M17" s="3" t="s">
        <v>82</v>
      </c>
    </row>
    <row r="18" spans="8:13" ht="15" customHeight="1" x14ac:dyDescent="0.15">
      <c r="H18" s="4" t="s">
        <v>125</v>
      </c>
      <c r="I18" s="23">
        <v>8500</v>
      </c>
      <c r="J18" s="23">
        <v>8</v>
      </c>
      <c r="K18" s="25">
        <f>$I$15</f>
        <v>1.05</v>
      </c>
      <c r="L18" s="26">
        <f>I18*K18</f>
        <v>8925</v>
      </c>
      <c r="M18" s="4" t="s">
        <v>126</v>
      </c>
    </row>
    <row r="19" spans="8:13" ht="15" customHeight="1" x14ac:dyDescent="0.15">
      <c r="H19" s="4" t="s">
        <v>127</v>
      </c>
      <c r="I19" s="23">
        <v>9700</v>
      </c>
      <c r="J19" s="23">
        <v>10</v>
      </c>
      <c r="K19" s="25">
        <f>$I$15</f>
        <v>1.05</v>
      </c>
      <c r="L19" s="26">
        <f>I19*K19</f>
        <v>10185</v>
      </c>
      <c r="M19" s="4" t="s">
        <v>128</v>
      </c>
    </row>
    <row r="20" spans="8:13" ht="15" customHeight="1" x14ac:dyDescent="0.15">
      <c r="H20" s="4" t="s">
        <v>129</v>
      </c>
      <c r="I20" s="23">
        <v>11600</v>
      </c>
      <c r="J20" s="23">
        <v>6</v>
      </c>
      <c r="K20" s="25">
        <f>$I$15</f>
        <v>1.05</v>
      </c>
      <c r="L20" s="26">
        <f>I20*K20</f>
        <v>12180</v>
      </c>
      <c r="M20" s="4" t="s">
        <v>130</v>
      </c>
    </row>
    <row r="21" spans="8:13" ht="13" x14ac:dyDescent="0.15"/>
    <row r="22" spans="8:13" ht="16" x14ac:dyDescent="0.15">
      <c r="H22" s="1" t="s">
        <v>131</v>
      </c>
    </row>
    <row r="23" spans="8:13" x14ac:dyDescent="0.15">
      <c r="H23" s="3" t="s">
        <v>83</v>
      </c>
      <c r="I23" s="3" t="s">
        <v>125</v>
      </c>
      <c r="J23" s="3" t="s">
        <v>127</v>
      </c>
      <c r="K23" s="3" t="s">
        <v>129</v>
      </c>
      <c r="L23" s="3" t="s">
        <v>132</v>
      </c>
      <c r="M23" s="3" t="s">
        <v>82</v>
      </c>
    </row>
    <row r="24" spans="8:13" x14ac:dyDescent="0.15">
      <c r="H24" s="4" t="s">
        <v>133</v>
      </c>
      <c r="I24" s="24">
        <v>0</v>
      </c>
      <c r="J24" s="24">
        <v>0.35</v>
      </c>
      <c r="K24" s="24">
        <v>0.05</v>
      </c>
      <c r="L24" s="25">
        <f>($J$18*$I$24+$J$19*$J$24+$J$20*$K$24)/24*$I$12</f>
        <v>0.1615</v>
      </c>
      <c r="M24" s="4" t="s">
        <v>134</v>
      </c>
    </row>
    <row r="25" spans="8:13" x14ac:dyDescent="0.15">
      <c r="H25" s="4" t="s">
        <v>135</v>
      </c>
      <c r="I25" s="24">
        <v>0.34</v>
      </c>
      <c r="J25" s="24">
        <v>0.31</v>
      </c>
      <c r="K25" s="24">
        <v>0.28999999999999998</v>
      </c>
      <c r="L25" s="25">
        <f>($J$18*$I$25+$J$19*$J$25+$J$20*$K$25)/24*$I$13</f>
        <v>0.29924999999999996</v>
      </c>
      <c r="M25" s="4" t="s">
        <v>136</v>
      </c>
    </row>
    <row r="26" spans="8:13" ht="13" x14ac:dyDescent="0.15"/>
    <row r="27" spans="8:13" ht="13" x14ac:dyDescent="0.15"/>
    <row r="28" spans="8:13" ht="16" x14ac:dyDescent="0.15">
      <c r="H28" s="1" t="s">
        <v>137</v>
      </c>
    </row>
    <row r="29" spans="8:13" x14ac:dyDescent="0.15">
      <c r="H29" s="3" t="s">
        <v>83</v>
      </c>
      <c r="I29" s="3" t="s">
        <v>89</v>
      </c>
      <c r="J29" s="3" t="s">
        <v>108</v>
      </c>
      <c r="K29" s="3" t="s">
        <v>113</v>
      </c>
      <c r="L29" s="3" t="s">
        <v>84</v>
      </c>
      <c r="M29" s="3" t="s">
        <v>82</v>
      </c>
    </row>
    <row r="30" spans="8:13" x14ac:dyDescent="0.15">
      <c r="H30" s="4" t="s">
        <v>138</v>
      </c>
      <c r="I30" s="24">
        <v>16</v>
      </c>
      <c r="J30" s="24">
        <v>22</v>
      </c>
      <c r="K30" s="24">
        <v>18</v>
      </c>
      <c r="L30" s="25">
        <f>IF($I$4="Hot-dry",$I$30,IF($I$4="Wet",$J$30,$K$30))</f>
        <v>16</v>
      </c>
      <c r="M30" s="4" t="s">
        <v>139</v>
      </c>
    </row>
    <row r="31" spans="8:13" x14ac:dyDescent="0.15">
      <c r="H31" s="4" t="s">
        <v>140</v>
      </c>
      <c r="I31" s="24">
        <v>1200</v>
      </c>
      <c r="J31" s="24">
        <v>1500</v>
      </c>
      <c r="K31" s="24">
        <v>1300</v>
      </c>
      <c r="L31" s="25">
        <f>IF($I$4="Hot-dry",$I$31,IF($I$4="Wet",$J$31,$K$31))</f>
        <v>1200</v>
      </c>
      <c r="M31" s="4" t="s">
        <v>141</v>
      </c>
    </row>
    <row r="32" spans="8:13" x14ac:dyDescent="0.15">
      <c r="H32" s="4" t="s">
        <v>142</v>
      </c>
      <c r="L32" s="25">
        <f>'11_Plants'!$C$17*'11_Plants'!$D$17*$I$14*('11_Plants'!$E$17*$J$18+'11_Plants'!$F$17*$J$19+'11_Plants'!$G$17*$J$20)</f>
        <v>23160.543300000005</v>
      </c>
      <c r="M32" s="4" t="s">
        <v>143</v>
      </c>
    </row>
    <row r="33" spans="8:13" x14ac:dyDescent="0.15">
      <c r="H33" s="4" t="s">
        <v>144</v>
      </c>
      <c r="L33" s="25">
        <f>IF($L$32&gt;0,MIN(1,$L$30*1000/$L$32),1)</f>
        <v>0.69083008082975306</v>
      </c>
      <c r="M33" s="4" t="s">
        <v>145</v>
      </c>
    </row>
    <row r="34" spans="8:13" ht="13" x14ac:dyDescent="0.15"/>
    <row r="35" spans="8:13" ht="16" x14ac:dyDescent="0.15">
      <c r="H35" s="1" t="s">
        <v>146</v>
      </c>
    </row>
    <row r="36" spans="8:13" x14ac:dyDescent="0.15">
      <c r="H36" s="4" t="s">
        <v>147</v>
      </c>
      <c r="I36" s="24">
        <v>0</v>
      </c>
      <c r="J36" s="3" t="s">
        <v>148</v>
      </c>
      <c r="K36" s="3" t="s">
        <v>81</v>
      </c>
      <c r="L36" s="3" t="s">
        <v>149</v>
      </c>
      <c r="M36" s="4" t="s">
        <v>150</v>
      </c>
    </row>
    <row r="37" spans="8:13" x14ac:dyDescent="0.15">
      <c r="H37" s="4" t="s">
        <v>151</v>
      </c>
      <c r="I37" s="24">
        <v>9000</v>
      </c>
      <c r="J37" s="3" t="s">
        <v>152</v>
      </c>
      <c r="K37" s="3" t="s">
        <v>81</v>
      </c>
      <c r="L37" s="3" t="s">
        <v>153</v>
      </c>
      <c r="M37" s="4" t="s">
        <v>154</v>
      </c>
    </row>
    <row r="38" spans="8:13" x14ac:dyDescent="0.15">
      <c r="H38" s="4" t="s">
        <v>155</v>
      </c>
      <c r="I38" s="24">
        <v>9000</v>
      </c>
      <c r="J38" s="3" t="s">
        <v>152</v>
      </c>
      <c r="K38" s="3" t="s">
        <v>81</v>
      </c>
      <c r="L38" s="3" t="s">
        <v>156</v>
      </c>
      <c r="M38" s="4" t="s">
        <v>157</v>
      </c>
    </row>
  </sheetData>
  <mergeCells count="4">
    <mergeCell ref="A1:F1"/>
    <mergeCell ref="H2:M2"/>
    <mergeCell ref="H1:M1"/>
    <mergeCell ref="H16:M16"/>
  </mergeCells>
  <dataValidations count="1">
    <dataValidation type="list" sqref="I4" xr:uid="{00000000-0002-0000-0200-000000000000}">
      <formula1>"Hot-dry,Wet,Cool-dry"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zoomScaleNormal="100" workbookViewId="0">
      <selection sqref="A1:H1"/>
    </sheetView>
  </sheetViews>
  <sheetFormatPr baseColWidth="10" defaultColWidth="8.6640625" defaultRowHeight="15" customHeight="1" x14ac:dyDescent="0.15"/>
  <cols>
    <col min="1" max="1" width="28" customWidth="1"/>
    <col min="2" max="6" width="12" customWidth="1"/>
    <col min="7" max="7" width="24" customWidth="1"/>
    <col min="8" max="8" width="34" customWidth="1"/>
    <col min="9" max="9" width="16" customWidth="1"/>
    <col min="10" max="10" width="22" customWidth="1"/>
  </cols>
  <sheetData>
    <row r="1" spans="1:10" ht="21.75" customHeight="1" x14ac:dyDescent="0.15">
      <c r="A1" s="58" t="s">
        <v>158</v>
      </c>
      <c r="B1" s="59"/>
      <c r="C1" s="59"/>
      <c r="D1" s="59"/>
      <c r="E1" s="59"/>
      <c r="F1" s="59"/>
      <c r="G1" s="59"/>
      <c r="H1" s="59"/>
      <c r="I1" s="73" t="s">
        <v>159</v>
      </c>
      <c r="J1" s="71"/>
    </row>
    <row r="2" spans="1:10" ht="15" customHeight="1" x14ac:dyDescent="0.15">
      <c r="A2" s="72" t="s">
        <v>160</v>
      </c>
      <c r="B2" s="61"/>
      <c r="C2" s="61"/>
      <c r="D2" s="61"/>
      <c r="E2" s="61"/>
      <c r="F2" s="61"/>
      <c r="G2" s="61"/>
      <c r="H2" s="62"/>
      <c r="I2" s="4" t="s">
        <v>161</v>
      </c>
      <c r="J2" s="27">
        <v>46087</v>
      </c>
    </row>
    <row r="3" spans="1:10" ht="15" customHeight="1" x14ac:dyDescent="0.15">
      <c r="A3" s="67"/>
      <c r="B3" s="59"/>
      <c r="C3" s="59"/>
      <c r="D3" s="59"/>
      <c r="E3" s="59"/>
      <c r="F3" s="59"/>
      <c r="G3" s="59"/>
      <c r="H3" s="68"/>
      <c r="I3" s="4" t="s">
        <v>162</v>
      </c>
      <c r="J3" s="21" t="s">
        <v>163</v>
      </c>
    </row>
    <row r="4" spans="1:10" ht="15" customHeight="1" x14ac:dyDescent="0.15">
      <c r="A4" s="63"/>
      <c r="B4" s="64"/>
      <c r="C4" s="64"/>
      <c r="D4" s="64"/>
      <c r="E4" s="64"/>
      <c r="F4" s="64"/>
      <c r="G4" s="64"/>
      <c r="H4" s="65"/>
      <c r="I4" s="4" t="s">
        <v>164</v>
      </c>
      <c r="J4" s="4" t="s">
        <v>165</v>
      </c>
    </row>
    <row r="5" spans="1:10" ht="13" x14ac:dyDescent="0.15"/>
    <row r="6" spans="1:10" ht="19.5" customHeight="1" x14ac:dyDescent="0.15">
      <c r="A6" s="3" t="s">
        <v>166</v>
      </c>
      <c r="B6" s="3" t="s">
        <v>50</v>
      </c>
      <c r="C6" s="3" t="s">
        <v>167</v>
      </c>
      <c r="D6" s="3" t="s">
        <v>168</v>
      </c>
      <c r="E6" s="3" t="s">
        <v>169</v>
      </c>
      <c r="F6" s="3" t="s">
        <v>170</v>
      </c>
      <c r="G6" s="3" t="s">
        <v>171</v>
      </c>
      <c r="H6" s="3" t="s">
        <v>172</v>
      </c>
    </row>
    <row r="7" spans="1:10" ht="15" customHeight="1" x14ac:dyDescent="0.15">
      <c r="A7" s="13" t="s">
        <v>173</v>
      </c>
      <c r="B7" s="4" t="s">
        <v>174</v>
      </c>
      <c r="C7" s="28">
        <v>0</v>
      </c>
      <c r="D7" s="28">
        <v>30</v>
      </c>
      <c r="E7" s="28">
        <v>120</v>
      </c>
      <c r="F7" s="28">
        <v>180</v>
      </c>
      <c r="G7" s="4" t="s">
        <v>175</v>
      </c>
      <c r="H7" s="4" t="s">
        <v>176</v>
      </c>
    </row>
    <row r="8" spans="1:10" ht="15" customHeight="1" x14ac:dyDescent="0.15">
      <c r="A8" s="13" t="s">
        <v>177</v>
      </c>
      <c r="B8" s="4" t="s">
        <v>86</v>
      </c>
      <c r="C8" s="20">
        <v>72.48</v>
      </c>
      <c r="D8" s="20">
        <v>80</v>
      </c>
      <c r="E8" s="20">
        <v>95</v>
      </c>
      <c r="F8" s="20">
        <v>135</v>
      </c>
      <c r="G8" s="4" t="s">
        <v>178</v>
      </c>
      <c r="H8" s="4" t="s">
        <v>179</v>
      </c>
    </row>
    <row r="9" spans="1:10" ht="15" customHeight="1" x14ac:dyDescent="0.15">
      <c r="A9" s="13" t="s">
        <v>180</v>
      </c>
      <c r="B9" s="4" t="s">
        <v>181</v>
      </c>
      <c r="C9" s="20">
        <v>10.725</v>
      </c>
      <c r="D9" s="20">
        <v>12.33375</v>
      </c>
      <c r="E9" s="20">
        <v>15.55125</v>
      </c>
      <c r="F9" s="20">
        <v>23.05875</v>
      </c>
      <c r="G9" s="4" t="s">
        <v>182</v>
      </c>
      <c r="H9" s="4" t="s">
        <v>183</v>
      </c>
    </row>
    <row r="10" spans="1:10" ht="15" customHeight="1" x14ac:dyDescent="0.15">
      <c r="A10" s="13" t="s">
        <v>184</v>
      </c>
      <c r="B10" s="4" t="s">
        <v>185</v>
      </c>
      <c r="C10" s="20">
        <v>115.8</v>
      </c>
      <c r="D10" s="20">
        <v>124.485</v>
      </c>
      <c r="E10" s="20">
        <v>141.85499999999999</v>
      </c>
      <c r="F10" s="20">
        <v>167.91</v>
      </c>
      <c r="G10" s="4" t="s">
        <v>186</v>
      </c>
      <c r="H10" s="4" t="s">
        <v>183</v>
      </c>
    </row>
    <row r="11" spans="1:10" ht="15" customHeight="1" x14ac:dyDescent="0.15">
      <c r="A11" s="13" t="s">
        <v>187</v>
      </c>
      <c r="B11" s="4" t="s">
        <v>185</v>
      </c>
      <c r="C11" s="20">
        <v>10</v>
      </c>
      <c r="D11" s="20">
        <v>11.5</v>
      </c>
      <c r="E11" s="20">
        <v>14.5</v>
      </c>
      <c r="F11" s="20">
        <v>19.5</v>
      </c>
      <c r="G11" s="4" t="s">
        <v>188</v>
      </c>
      <c r="H11" s="4" t="s">
        <v>189</v>
      </c>
    </row>
    <row r="12" spans="1:10" ht="15" customHeight="1" x14ac:dyDescent="0.15">
      <c r="A12" s="13" t="s">
        <v>190</v>
      </c>
      <c r="B12" s="4" t="s">
        <v>185</v>
      </c>
      <c r="C12" s="20">
        <v>0.5</v>
      </c>
      <c r="D12" s="20">
        <v>0.75</v>
      </c>
      <c r="E12" s="20">
        <v>1.25</v>
      </c>
      <c r="F12" s="20">
        <v>2</v>
      </c>
      <c r="G12" s="4" t="s">
        <v>191</v>
      </c>
      <c r="H12" s="4" t="s">
        <v>192</v>
      </c>
    </row>
    <row r="13" spans="1:10" ht="15" customHeight="1" x14ac:dyDescent="0.15">
      <c r="A13" s="13" t="s">
        <v>193</v>
      </c>
      <c r="B13" s="4" t="s">
        <v>185</v>
      </c>
      <c r="C13" s="20">
        <v>0</v>
      </c>
      <c r="D13" s="20">
        <v>0.5</v>
      </c>
      <c r="E13" s="20">
        <v>1.5</v>
      </c>
      <c r="F13" s="20">
        <v>4</v>
      </c>
      <c r="G13" s="4" t="s">
        <v>194</v>
      </c>
      <c r="H13" s="4" t="s">
        <v>195</v>
      </c>
    </row>
    <row r="14" spans="1:10" ht="15" customHeight="1" x14ac:dyDescent="0.15">
      <c r="A14" s="13" t="s">
        <v>196</v>
      </c>
      <c r="B14" s="4" t="s">
        <v>197</v>
      </c>
      <c r="C14" s="20">
        <v>57.741</v>
      </c>
      <c r="D14" s="20">
        <v>58.896000000000001</v>
      </c>
      <c r="E14" s="20">
        <v>60.34</v>
      </c>
      <c r="F14" s="20">
        <v>62.36</v>
      </c>
      <c r="G14" s="4" t="s">
        <v>198</v>
      </c>
      <c r="H14" s="4" t="s">
        <v>199</v>
      </c>
    </row>
    <row r="15" spans="1:10" ht="15" customHeight="1" x14ac:dyDescent="0.15">
      <c r="A15" s="13" t="s">
        <v>200</v>
      </c>
      <c r="B15" s="4" t="s">
        <v>181</v>
      </c>
      <c r="C15" s="20">
        <v>0</v>
      </c>
      <c r="D15" s="20">
        <v>0.5</v>
      </c>
      <c r="E15" s="20">
        <v>2</v>
      </c>
      <c r="F15" s="20">
        <v>5</v>
      </c>
      <c r="G15" s="4" t="s">
        <v>201</v>
      </c>
      <c r="H15" s="4" t="s">
        <v>202</v>
      </c>
    </row>
    <row r="16" spans="1:10" ht="15" customHeight="1" x14ac:dyDescent="0.15">
      <c r="A16" s="13" t="s">
        <v>203</v>
      </c>
      <c r="B16" s="4" t="s">
        <v>204</v>
      </c>
      <c r="C16" s="24">
        <v>1</v>
      </c>
      <c r="D16" s="24">
        <v>0.97</v>
      </c>
      <c r="E16" s="24">
        <v>0.85</v>
      </c>
      <c r="F16" s="24">
        <v>0.7</v>
      </c>
      <c r="G16" s="4" t="s">
        <v>205</v>
      </c>
      <c r="H16" s="4" t="s">
        <v>206</v>
      </c>
    </row>
    <row r="17" spans="1:8" ht="15" customHeight="1" x14ac:dyDescent="0.15">
      <c r="A17" s="13" t="s">
        <v>207</v>
      </c>
      <c r="B17" s="4" t="s">
        <v>174</v>
      </c>
      <c r="C17" s="28">
        <v>0</v>
      </c>
      <c r="D17" s="28">
        <v>5</v>
      </c>
      <c r="E17" s="28">
        <v>14</v>
      </c>
      <c r="F17" s="28">
        <v>28</v>
      </c>
      <c r="G17" s="4" t="s">
        <v>194</v>
      </c>
      <c r="H17" s="4" t="s">
        <v>208</v>
      </c>
    </row>
    <row r="18" spans="1:8" ht="15" customHeight="1" x14ac:dyDescent="0.15">
      <c r="A18" s="13" t="s">
        <v>209</v>
      </c>
      <c r="B18" s="4" t="s">
        <v>204</v>
      </c>
      <c r="C18" s="24">
        <v>0.05</v>
      </c>
      <c r="D18" s="24">
        <v>7.0000000000000007E-2</v>
      </c>
      <c r="E18" s="24">
        <v>0.1</v>
      </c>
      <c r="F18" s="24">
        <v>0.15</v>
      </c>
      <c r="G18" s="4" t="s">
        <v>210</v>
      </c>
      <c r="H18" s="4" t="s">
        <v>211</v>
      </c>
    </row>
    <row r="19" spans="1:8" ht="15" customHeight="1" x14ac:dyDescent="0.15">
      <c r="A19" s="13" t="s">
        <v>212</v>
      </c>
      <c r="B19" s="4" t="s">
        <v>204</v>
      </c>
      <c r="C19" s="24">
        <v>0.25</v>
      </c>
      <c r="D19" s="24">
        <v>0.28000000000000003</v>
      </c>
      <c r="E19" s="24">
        <v>0.35</v>
      </c>
      <c r="F19" s="24">
        <v>0.45</v>
      </c>
      <c r="G19" s="4" t="s">
        <v>213</v>
      </c>
      <c r="H19" s="4" t="s">
        <v>214</v>
      </c>
    </row>
    <row r="20" spans="1:8" ht="15" customHeight="1" x14ac:dyDescent="0.15">
      <c r="A20" s="13" t="s">
        <v>215</v>
      </c>
      <c r="B20" s="4" t="s">
        <v>118</v>
      </c>
      <c r="C20" s="29">
        <v>1</v>
      </c>
      <c r="D20" s="29">
        <v>1.05</v>
      </c>
      <c r="E20" s="29">
        <v>1.1499999999999999</v>
      </c>
      <c r="F20" s="29">
        <v>1.3</v>
      </c>
      <c r="G20" s="4" t="s">
        <v>216</v>
      </c>
      <c r="H20" s="4" t="s">
        <v>217</v>
      </c>
    </row>
  </sheetData>
  <mergeCells count="3">
    <mergeCell ref="A2:H4"/>
    <mergeCell ref="I1:J1"/>
    <mergeCell ref="A1:H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showGridLines="0" zoomScaleNormal="100" workbookViewId="0">
      <selection sqref="A1:F1"/>
    </sheetView>
  </sheetViews>
  <sheetFormatPr baseColWidth="10" defaultColWidth="8.6640625" defaultRowHeight="15" customHeight="1" x14ac:dyDescent="0.15"/>
  <cols>
    <col min="1" max="1" width="28" customWidth="1"/>
    <col min="2" max="5" width="12" customWidth="1"/>
    <col min="6" max="6" width="48" customWidth="1"/>
  </cols>
  <sheetData>
    <row r="1" spans="1:6" ht="21.75" customHeight="1" x14ac:dyDescent="0.15">
      <c r="A1" s="58" t="s">
        <v>218</v>
      </c>
      <c r="B1" s="59"/>
      <c r="C1" s="59"/>
      <c r="D1" s="59"/>
      <c r="E1" s="59"/>
      <c r="F1" s="59"/>
    </row>
    <row r="2" spans="1:6" ht="15" customHeight="1" x14ac:dyDescent="0.15">
      <c r="A2" s="60" t="s">
        <v>219</v>
      </c>
      <c r="B2" s="61"/>
      <c r="C2" s="61"/>
      <c r="D2" s="61"/>
      <c r="E2" s="61"/>
      <c r="F2" s="62"/>
    </row>
    <row r="3" spans="1:6" ht="15" customHeight="1" x14ac:dyDescent="0.15">
      <c r="A3" s="67"/>
      <c r="B3" s="59"/>
      <c r="C3" s="59"/>
      <c r="D3" s="59"/>
      <c r="E3" s="59"/>
      <c r="F3" s="68"/>
    </row>
    <row r="4" spans="1:6" ht="15" customHeight="1" x14ac:dyDescent="0.15">
      <c r="A4" s="63"/>
      <c r="B4" s="64"/>
      <c r="C4" s="64"/>
      <c r="D4" s="64"/>
      <c r="E4" s="64"/>
      <c r="F4" s="65"/>
    </row>
    <row r="5" spans="1:6" ht="13" x14ac:dyDescent="0.15"/>
    <row r="6" spans="1:6" ht="19.5" customHeight="1" x14ac:dyDescent="0.15">
      <c r="A6" s="3" t="s">
        <v>220</v>
      </c>
      <c r="B6" s="3" t="s">
        <v>167</v>
      </c>
      <c r="C6" s="3" t="s">
        <v>221</v>
      </c>
      <c r="D6" s="3" t="s">
        <v>222</v>
      </c>
      <c r="E6" s="3" t="s">
        <v>223</v>
      </c>
      <c r="F6" s="3" t="s">
        <v>82</v>
      </c>
    </row>
    <row r="7" spans="1:6" ht="28.25" customHeight="1" x14ac:dyDescent="0.15">
      <c r="A7" s="30" t="s">
        <v>177</v>
      </c>
      <c r="B7" s="31">
        <f>'03_Scenarios'!C8</f>
        <v>72.48</v>
      </c>
      <c r="C7" s="31">
        <f>'03_Scenarios'!D8</f>
        <v>80</v>
      </c>
      <c r="D7" s="31">
        <f>'03_Scenarios'!E8</f>
        <v>95</v>
      </c>
      <c r="E7" s="31">
        <f>'03_Scenarios'!F8</f>
        <v>135</v>
      </c>
      <c r="F7" s="16" t="s">
        <v>224</v>
      </c>
    </row>
    <row r="8" spans="1:6" ht="28.25" customHeight="1" x14ac:dyDescent="0.15">
      <c r="A8" s="30" t="s">
        <v>180</v>
      </c>
      <c r="B8" s="31">
        <f>'03_Scenarios'!C9</f>
        <v>10.725</v>
      </c>
      <c r="C8" s="31">
        <f>'03_Scenarios'!D9</f>
        <v>12.33375</v>
      </c>
      <c r="D8" s="31">
        <f>'03_Scenarios'!E9</f>
        <v>15.55125</v>
      </c>
      <c r="E8" s="31">
        <f>'03_Scenarios'!F9</f>
        <v>23.05875</v>
      </c>
      <c r="F8" s="16" t="s">
        <v>224</v>
      </c>
    </row>
    <row r="9" spans="1:6" ht="28.25" customHeight="1" x14ac:dyDescent="0.15">
      <c r="A9" s="30" t="s">
        <v>184</v>
      </c>
      <c r="B9" s="31">
        <f>'03_Scenarios'!C10</f>
        <v>115.8</v>
      </c>
      <c r="C9" s="31">
        <f>'03_Scenarios'!D10</f>
        <v>124.485</v>
      </c>
      <c r="D9" s="31">
        <f>'03_Scenarios'!E10</f>
        <v>141.85499999999999</v>
      </c>
      <c r="E9" s="31">
        <f>'03_Scenarios'!F10</f>
        <v>167.91</v>
      </c>
      <c r="F9" s="16" t="s">
        <v>224</v>
      </c>
    </row>
    <row r="10" spans="1:6" ht="28.25" customHeight="1" x14ac:dyDescent="0.15">
      <c r="A10" s="30" t="s">
        <v>187</v>
      </c>
      <c r="B10" s="31">
        <f>'03_Scenarios'!C11</f>
        <v>10</v>
      </c>
      <c r="C10" s="31">
        <f>'03_Scenarios'!D11</f>
        <v>11.5</v>
      </c>
      <c r="D10" s="31">
        <f>'03_Scenarios'!E11</f>
        <v>14.5</v>
      </c>
      <c r="E10" s="31">
        <f>'03_Scenarios'!F11</f>
        <v>19.5</v>
      </c>
      <c r="F10" s="16" t="s">
        <v>224</v>
      </c>
    </row>
    <row r="11" spans="1:6" ht="28.25" customHeight="1" x14ac:dyDescent="0.15">
      <c r="A11" s="30" t="s">
        <v>190</v>
      </c>
      <c r="B11" s="31">
        <f>'03_Scenarios'!C12</f>
        <v>0.5</v>
      </c>
      <c r="C11" s="31">
        <f>'03_Scenarios'!D12</f>
        <v>0.75</v>
      </c>
      <c r="D11" s="31">
        <f>'03_Scenarios'!E12</f>
        <v>1.25</v>
      </c>
      <c r="E11" s="31">
        <f>'03_Scenarios'!F12</f>
        <v>2</v>
      </c>
      <c r="F11" s="16" t="s">
        <v>224</v>
      </c>
    </row>
    <row r="12" spans="1:6" ht="28.25" customHeight="1" x14ac:dyDescent="0.15">
      <c r="A12" s="30" t="s">
        <v>193</v>
      </c>
      <c r="B12" s="31">
        <f>'03_Scenarios'!C13</f>
        <v>0</v>
      </c>
      <c r="C12" s="31">
        <f>'03_Scenarios'!D13</f>
        <v>0.5</v>
      </c>
      <c r="D12" s="31">
        <f>'03_Scenarios'!E13</f>
        <v>1.5</v>
      </c>
      <c r="E12" s="31">
        <f>'03_Scenarios'!F13</f>
        <v>4</v>
      </c>
      <c r="F12" s="16" t="s">
        <v>224</v>
      </c>
    </row>
    <row r="13" spans="1:6" ht="28.25" customHeight="1" x14ac:dyDescent="0.15">
      <c r="A13" s="30" t="s">
        <v>196</v>
      </c>
      <c r="B13" s="32">
        <f>'03_Scenarios'!C14</f>
        <v>57.741</v>
      </c>
      <c r="C13" s="32">
        <f>'03_Scenarios'!D14</f>
        <v>58.896000000000001</v>
      </c>
      <c r="D13" s="32">
        <f>'03_Scenarios'!E14</f>
        <v>60.34</v>
      </c>
      <c r="E13" s="32">
        <f>'03_Scenarios'!F14</f>
        <v>62.36</v>
      </c>
      <c r="F13" s="16" t="s">
        <v>224</v>
      </c>
    </row>
    <row r="14" spans="1:6" ht="28.25" customHeight="1" x14ac:dyDescent="0.15">
      <c r="A14" s="30" t="s">
        <v>225</v>
      </c>
      <c r="B14" s="31">
        <f>'03_Scenarios'!C15</f>
        <v>0</v>
      </c>
      <c r="C14" s="31">
        <f>'03_Scenarios'!D15</f>
        <v>0.5</v>
      </c>
      <c r="D14" s="31">
        <f>'03_Scenarios'!E15</f>
        <v>2</v>
      </c>
      <c r="E14" s="31">
        <f>'03_Scenarios'!F15</f>
        <v>5</v>
      </c>
      <c r="F14" s="16" t="s">
        <v>224</v>
      </c>
    </row>
    <row r="15" spans="1:6" ht="28.25" customHeight="1" x14ac:dyDescent="0.15">
      <c r="A15" s="30" t="s">
        <v>226</v>
      </c>
      <c r="B15" s="33">
        <f>'03_Scenarios'!C16</f>
        <v>1</v>
      </c>
      <c r="C15" s="33">
        <f>'03_Scenarios'!D16</f>
        <v>0.97</v>
      </c>
      <c r="D15" s="33">
        <f>'03_Scenarios'!E16</f>
        <v>0.85</v>
      </c>
      <c r="E15" s="33">
        <f>'03_Scenarios'!F16</f>
        <v>0.7</v>
      </c>
      <c r="F15" s="16" t="s">
        <v>224</v>
      </c>
    </row>
    <row r="16" spans="1:6" ht="28.25" customHeight="1" x14ac:dyDescent="0.15">
      <c r="A16" s="30" t="s">
        <v>207</v>
      </c>
      <c r="B16" s="34">
        <f>'03_Scenarios'!C17</f>
        <v>0</v>
      </c>
      <c r="C16" s="34">
        <f>'03_Scenarios'!D17</f>
        <v>5</v>
      </c>
      <c r="D16" s="34">
        <f>'03_Scenarios'!E17</f>
        <v>14</v>
      </c>
      <c r="E16" s="34">
        <f>'03_Scenarios'!F17</f>
        <v>28</v>
      </c>
      <c r="F16" s="16" t="s">
        <v>224</v>
      </c>
    </row>
    <row r="17" spans="1:6" ht="28.25" customHeight="1" x14ac:dyDescent="0.15">
      <c r="A17" s="30" t="s">
        <v>209</v>
      </c>
      <c r="B17" s="33">
        <f>'03_Scenarios'!C18</f>
        <v>0.05</v>
      </c>
      <c r="C17" s="33">
        <f>'03_Scenarios'!D18</f>
        <v>7.0000000000000007E-2</v>
      </c>
      <c r="D17" s="33">
        <f>'03_Scenarios'!E18</f>
        <v>0.1</v>
      </c>
      <c r="E17" s="33">
        <f>'03_Scenarios'!F18</f>
        <v>0.15</v>
      </c>
      <c r="F17" s="16" t="s">
        <v>224</v>
      </c>
    </row>
    <row r="18" spans="1:6" ht="28.25" customHeight="1" x14ac:dyDescent="0.15">
      <c r="A18" s="30" t="s">
        <v>212</v>
      </c>
      <c r="B18" s="31">
        <f>'03_Scenarios'!C19</f>
        <v>0.25</v>
      </c>
      <c r="C18" s="31">
        <f>'03_Scenarios'!D19</f>
        <v>0.28000000000000003</v>
      </c>
      <c r="D18" s="31">
        <f>'03_Scenarios'!E19</f>
        <v>0.35</v>
      </c>
      <c r="E18" s="31">
        <f>'03_Scenarios'!F19</f>
        <v>0.45</v>
      </c>
      <c r="F18" s="16" t="s">
        <v>224</v>
      </c>
    </row>
    <row r="19" spans="1:6" ht="28.25" customHeight="1" x14ac:dyDescent="0.15">
      <c r="A19" s="30" t="s">
        <v>215</v>
      </c>
      <c r="B19" s="25">
        <f>'03_Scenarios'!C20</f>
        <v>1</v>
      </c>
      <c r="C19" s="25">
        <f>'03_Scenarios'!D20</f>
        <v>1.05</v>
      </c>
      <c r="D19" s="25">
        <f>'03_Scenarios'!E20</f>
        <v>1.1499999999999999</v>
      </c>
      <c r="E19" s="25">
        <f>'03_Scenarios'!F20</f>
        <v>1.3</v>
      </c>
      <c r="F19" s="16" t="s">
        <v>224</v>
      </c>
    </row>
  </sheetData>
  <mergeCells count="2">
    <mergeCell ref="A2:F4"/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showGridLines="0" zoomScaleNormal="100" workbookViewId="0">
      <selection sqref="A1:G1"/>
    </sheetView>
  </sheetViews>
  <sheetFormatPr baseColWidth="10" defaultColWidth="8.6640625" defaultRowHeight="15" customHeight="1" x14ac:dyDescent="0.15"/>
  <cols>
    <col min="1" max="1" width="24" customWidth="1"/>
    <col min="2" max="2" width="14" customWidth="1"/>
    <col min="3" max="6" width="13" customWidth="1"/>
    <col min="7" max="7" width="30" customWidth="1"/>
  </cols>
  <sheetData>
    <row r="1" spans="1:7" ht="21.75" customHeight="1" x14ac:dyDescent="0.15">
      <c r="A1" s="58" t="s">
        <v>227</v>
      </c>
      <c r="B1" s="59"/>
      <c r="C1" s="59"/>
      <c r="D1" s="59"/>
      <c r="E1" s="59"/>
      <c r="F1" s="59"/>
      <c r="G1" s="59"/>
    </row>
    <row r="2" spans="1:7" ht="15" customHeight="1" x14ac:dyDescent="0.15">
      <c r="A2" s="72" t="s">
        <v>228</v>
      </c>
      <c r="B2" s="61"/>
      <c r="C2" s="61"/>
      <c r="D2" s="61"/>
      <c r="E2" s="61"/>
      <c r="F2" s="61"/>
      <c r="G2" s="62"/>
    </row>
    <row r="3" spans="1:7" ht="15" customHeight="1" x14ac:dyDescent="0.15">
      <c r="A3" s="63"/>
      <c r="B3" s="64"/>
      <c r="C3" s="64"/>
      <c r="D3" s="64"/>
      <c r="E3" s="64"/>
      <c r="F3" s="64"/>
      <c r="G3" s="65"/>
    </row>
    <row r="4" spans="1:7" ht="13" x14ac:dyDescent="0.15"/>
    <row r="5" spans="1:7" ht="19.5" customHeight="1" x14ac:dyDescent="0.15">
      <c r="A5" s="3" t="s">
        <v>229</v>
      </c>
      <c r="B5" s="3" t="s">
        <v>50</v>
      </c>
      <c r="C5" s="3" t="s">
        <v>167</v>
      </c>
      <c r="D5" s="3" t="s">
        <v>168</v>
      </c>
      <c r="E5" s="3" t="s">
        <v>169</v>
      </c>
      <c r="F5" s="3" t="s">
        <v>170</v>
      </c>
      <c r="G5" s="3" t="s">
        <v>230</v>
      </c>
    </row>
    <row r="6" spans="1:7" ht="15" customHeight="1" x14ac:dyDescent="0.15">
      <c r="A6" s="13" t="s">
        <v>231</v>
      </c>
      <c r="B6" s="4" t="s">
        <v>185</v>
      </c>
      <c r="C6" s="31">
        <f>'03_Scenarios'!C10</f>
        <v>115.8</v>
      </c>
      <c r="D6" s="31">
        <f>'03_Scenarios'!D10</f>
        <v>124.485</v>
      </c>
      <c r="E6" s="31">
        <f>'03_Scenarios'!E10</f>
        <v>141.85499999999999</v>
      </c>
      <c r="F6" s="31">
        <f>'03_Scenarios'!F10</f>
        <v>167.91</v>
      </c>
      <c r="G6" s="4" t="s">
        <v>232</v>
      </c>
    </row>
    <row r="7" spans="1:7" ht="15" customHeight="1" x14ac:dyDescent="0.15">
      <c r="A7" s="13" t="s">
        <v>233</v>
      </c>
      <c r="B7" s="4" t="s">
        <v>185</v>
      </c>
      <c r="C7" s="31">
        <f>'03_Scenarios'!C11</f>
        <v>10</v>
      </c>
      <c r="D7" s="31">
        <f>'03_Scenarios'!D11</f>
        <v>11.5</v>
      </c>
      <c r="E7" s="31">
        <f>'03_Scenarios'!E11</f>
        <v>14.5</v>
      </c>
      <c r="F7" s="31">
        <f>'03_Scenarios'!F11</f>
        <v>19.5</v>
      </c>
      <c r="G7" s="4" t="s">
        <v>232</v>
      </c>
    </row>
    <row r="8" spans="1:7" ht="15" customHeight="1" x14ac:dyDescent="0.15">
      <c r="A8" s="13" t="s">
        <v>234</v>
      </c>
      <c r="B8" s="4" t="s">
        <v>185</v>
      </c>
      <c r="C8" s="31">
        <f>'03_Scenarios'!C12</f>
        <v>0.5</v>
      </c>
      <c r="D8" s="31">
        <f>'03_Scenarios'!D12</f>
        <v>0.75</v>
      </c>
      <c r="E8" s="31">
        <f>'03_Scenarios'!E12</f>
        <v>1.25</v>
      </c>
      <c r="F8" s="31">
        <f>'03_Scenarios'!F12</f>
        <v>2</v>
      </c>
      <c r="G8" s="4" t="s">
        <v>232</v>
      </c>
    </row>
    <row r="9" spans="1:7" ht="15" customHeight="1" x14ac:dyDescent="0.15">
      <c r="A9" s="13" t="s">
        <v>235</v>
      </c>
      <c r="B9" s="4" t="s">
        <v>185</v>
      </c>
      <c r="C9" s="31">
        <f>'03_Scenarios'!C13</f>
        <v>0</v>
      </c>
      <c r="D9" s="31">
        <f>'03_Scenarios'!D13</f>
        <v>0.5</v>
      </c>
      <c r="E9" s="31">
        <f>'03_Scenarios'!E13</f>
        <v>1.5</v>
      </c>
      <c r="F9" s="31">
        <f>'03_Scenarios'!F13</f>
        <v>4</v>
      </c>
      <c r="G9" s="4" t="s">
        <v>232</v>
      </c>
    </row>
    <row r="10" spans="1:7" ht="28.25" customHeight="1" x14ac:dyDescent="0.15">
      <c r="A10" s="13" t="s">
        <v>236</v>
      </c>
      <c r="B10" s="4" t="s">
        <v>185</v>
      </c>
      <c r="C10" s="35">
        <f>SUM(C6:C9)</f>
        <v>126.3</v>
      </c>
      <c r="D10" s="35">
        <f>SUM(D6:D9)</f>
        <v>137.23500000000001</v>
      </c>
      <c r="E10" s="35">
        <f>SUM(E6:E9)</f>
        <v>159.10499999999999</v>
      </c>
      <c r="F10" s="35">
        <f>SUM(F6:F9)</f>
        <v>193.41</v>
      </c>
      <c r="G10" s="16" t="s">
        <v>237</v>
      </c>
    </row>
    <row r="11" spans="1:7" ht="15" customHeight="1" x14ac:dyDescent="0.15">
      <c r="A11" s="13" t="s">
        <v>238</v>
      </c>
      <c r="B11" s="4" t="s">
        <v>197</v>
      </c>
      <c r="C11" s="32">
        <f>'03_Scenarios'!C14</f>
        <v>57.741</v>
      </c>
      <c r="D11" s="32">
        <f>'03_Scenarios'!D14</f>
        <v>58.896000000000001</v>
      </c>
      <c r="E11" s="32">
        <f>'03_Scenarios'!E14</f>
        <v>60.34</v>
      </c>
      <c r="F11" s="32">
        <f>'03_Scenarios'!F14</f>
        <v>62.36</v>
      </c>
      <c r="G11" s="4" t="s">
        <v>232</v>
      </c>
    </row>
    <row r="12" spans="1:7" ht="15" customHeight="1" x14ac:dyDescent="0.15">
      <c r="A12" s="13" t="s">
        <v>236</v>
      </c>
      <c r="B12" s="4" t="s">
        <v>239</v>
      </c>
      <c r="C12" s="36">
        <f>C10*C11</f>
        <v>7292.6882999999998</v>
      </c>
      <c r="D12" s="36">
        <f>D10*D11</f>
        <v>8082.592560000001</v>
      </c>
      <c r="E12" s="36">
        <f>E10*E11</f>
        <v>9600.3956999999991</v>
      </c>
      <c r="F12" s="36">
        <f>F10*F11</f>
        <v>12061.0476</v>
      </c>
      <c r="G12" s="4" t="s">
        <v>240</v>
      </c>
    </row>
    <row r="13" spans="1:7" ht="15" customHeight="1" x14ac:dyDescent="0.15">
      <c r="A13" s="13" t="s">
        <v>241</v>
      </c>
      <c r="B13" s="4" t="s">
        <v>72</v>
      </c>
      <c r="C13" s="37">
        <f>'11_Plants'!$F$5</f>
        <v>21.980699999999999</v>
      </c>
      <c r="D13" s="37">
        <f>'11_Plants'!$F$5</f>
        <v>21.980699999999999</v>
      </c>
      <c r="E13" s="37">
        <f>'11_Plants'!$F$5</f>
        <v>21.980699999999999</v>
      </c>
      <c r="F13" s="37">
        <f>'11_Plants'!$F$5</f>
        <v>21.980699999999999</v>
      </c>
      <c r="G13" t="s">
        <v>242</v>
      </c>
    </row>
    <row r="14" spans="1:7" ht="15" customHeight="1" x14ac:dyDescent="0.15">
      <c r="A14" s="13" t="s">
        <v>236</v>
      </c>
      <c r="B14" s="4" t="s">
        <v>243</v>
      </c>
      <c r="C14" s="36">
        <f>C12/C13</f>
        <v>331.77689063587604</v>
      </c>
      <c r="D14" s="36">
        <f>D12/D13</f>
        <v>367.7131556319863</v>
      </c>
      <c r="E14" s="36">
        <f>E12/E13</f>
        <v>436.76478456100125</v>
      </c>
      <c r="F14" s="36">
        <f>F12/F13</f>
        <v>548.7108053883635</v>
      </c>
      <c r="G14" s="16" t="s">
        <v>244</v>
      </c>
    </row>
    <row r="15" spans="1:7" ht="15" customHeight="1" x14ac:dyDescent="0.2">
      <c r="A15" s="38" t="s">
        <v>245</v>
      </c>
      <c r="C15" s="39"/>
      <c r="D15" s="39"/>
      <c r="E15" s="39"/>
      <c r="F15" s="39"/>
    </row>
    <row r="16" spans="1:7" ht="15" customHeight="1" x14ac:dyDescent="0.15">
      <c r="A16" s="13" t="s">
        <v>246</v>
      </c>
      <c r="B16" s="4" t="s">
        <v>181</v>
      </c>
      <c r="C16" s="31">
        <f>'03_Scenarios'!C9</f>
        <v>10.725</v>
      </c>
      <c r="D16" s="31">
        <f>'03_Scenarios'!D9</f>
        <v>12.33375</v>
      </c>
      <c r="E16" s="31">
        <f>'03_Scenarios'!E9</f>
        <v>15.55125</v>
      </c>
      <c r="F16" s="31">
        <f>'03_Scenarios'!F9</f>
        <v>23.05875</v>
      </c>
    </row>
    <row r="17" spans="1:7" ht="15" customHeight="1" x14ac:dyDescent="0.15">
      <c r="A17" s="13" t="s">
        <v>247</v>
      </c>
      <c r="B17" s="4" t="s">
        <v>181</v>
      </c>
      <c r="C17" s="31">
        <f>'03_Scenarios'!C15</f>
        <v>0</v>
      </c>
      <c r="D17" s="31">
        <f>'03_Scenarios'!D15</f>
        <v>0.5</v>
      </c>
      <c r="E17" s="31">
        <f>'03_Scenarios'!E15</f>
        <v>2</v>
      </c>
      <c r="F17" s="31">
        <f>'03_Scenarios'!F15</f>
        <v>5</v>
      </c>
      <c r="G17" t="s">
        <v>248</v>
      </c>
    </row>
    <row r="18" spans="1:7" ht="15" customHeight="1" x14ac:dyDescent="0.15">
      <c r="A18" s="13" t="s">
        <v>249</v>
      </c>
      <c r="B18" s="4" t="s">
        <v>181</v>
      </c>
      <c r="C18" s="35">
        <f>C16+C17</f>
        <v>10.725</v>
      </c>
      <c r="D18" s="35">
        <f>D16+D17</f>
        <v>12.83375</v>
      </c>
      <c r="E18" s="35">
        <f>E16+E17</f>
        <v>17.55125</v>
      </c>
      <c r="F18" s="35">
        <f>F16+F17</f>
        <v>28.05875</v>
      </c>
      <c r="G18" t="s">
        <v>250</v>
      </c>
    </row>
    <row r="19" spans="1:7" ht="15" customHeight="1" x14ac:dyDescent="0.15">
      <c r="A19" s="13" t="s">
        <v>251</v>
      </c>
      <c r="B19" s="4" t="s">
        <v>181</v>
      </c>
      <c r="C19" s="20">
        <v>0.9</v>
      </c>
      <c r="D19" s="20">
        <v>1</v>
      </c>
      <c r="E19" s="20">
        <v>1.1000000000000001</v>
      </c>
      <c r="F19" s="20">
        <v>1.3</v>
      </c>
      <c r="G19" s="4" t="s">
        <v>252</v>
      </c>
    </row>
    <row r="20" spans="1:7" ht="15" customHeight="1" x14ac:dyDescent="0.15">
      <c r="A20" s="13" t="s">
        <v>253</v>
      </c>
      <c r="B20" s="4" t="s">
        <v>181</v>
      </c>
      <c r="C20" s="20">
        <v>0</v>
      </c>
      <c r="D20" s="20">
        <v>0</v>
      </c>
      <c r="E20" s="20">
        <v>0.3</v>
      </c>
      <c r="F20" s="20">
        <v>0.8</v>
      </c>
      <c r="G20" t="s">
        <v>254</v>
      </c>
    </row>
    <row r="21" spans="1:7" ht="15" customHeight="1" x14ac:dyDescent="0.15">
      <c r="A21" s="13" t="s">
        <v>255</v>
      </c>
      <c r="B21" s="4" t="s">
        <v>256</v>
      </c>
      <c r="C21" s="40">
        <f>(C18+C19+C20)*C11</f>
        <v>671.23912499999994</v>
      </c>
      <c r="D21" s="40">
        <f>(D18+D19+D20)*D11</f>
        <v>814.75254000000007</v>
      </c>
      <c r="E21" s="40">
        <f>(E18+E19+E20)*E11</f>
        <v>1143.5184250000002</v>
      </c>
      <c r="F21" s="40">
        <f>(F18+F19+F20)*F11</f>
        <v>1880.69965</v>
      </c>
      <c r="G21" s="16" t="s">
        <v>257</v>
      </c>
    </row>
    <row r="22" spans="1:7" ht="15" customHeight="1" x14ac:dyDescent="0.15">
      <c r="A22" s="38" t="s">
        <v>258</v>
      </c>
    </row>
    <row r="23" spans="1:7" ht="15" customHeight="1" x14ac:dyDescent="0.15">
      <c r="A23" s="13" t="s">
        <v>259</v>
      </c>
      <c r="B23" s="4" t="s">
        <v>86</v>
      </c>
      <c r="C23" s="31">
        <f>'03_Scenarios'!C8</f>
        <v>72.48</v>
      </c>
      <c r="D23" s="31">
        <f>'03_Scenarios'!D8</f>
        <v>80</v>
      </c>
      <c r="E23" s="31">
        <f>'03_Scenarios'!E8</f>
        <v>95</v>
      </c>
      <c r="F23" s="31">
        <f>'03_Scenarios'!F8</f>
        <v>135</v>
      </c>
    </row>
    <row r="24" spans="1:7" ht="15" customHeight="1" x14ac:dyDescent="0.15">
      <c r="A24" s="13" t="s">
        <v>260</v>
      </c>
      <c r="B24" s="4" t="s">
        <v>86</v>
      </c>
      <c r="C24" s="31">
        <f>'02_Inputs_Base'!$B$4</f>
        <v>10</v>
      </c>
      <c r="D24" s="31">
        <f>'02_Inputs_Base'!$B$4</f>
        <v>10</v>
      </c>
      <c r="E24" s="31">
        <f>'02_Inputs_Base'!$B$4</f>
        <v>10</v>
      </c>
      <c r="F24" s="31">
        <f>'02_Inputs_Base'!$B$4</f>
        <v>10</v>
      </c>
    </row>
    <row r="25" spans="1:7" ht="15" customHeight="1" x14ac:dyDescent="0.15">
      <c r="A25" s="13" t="s">
        <v>261</v>
      </c>
      <c r="B25" s="4" t="s">
        <v>86</v>
      </c>
      <c r="C25" s="35">
        <f>C23+C24</f>
        <v>82.48</v>
      </c>
      <c r="D25" s="35">
        <f>D23+D24</f>
        <v>90</v>
      </c>
      <c r="E25" s="35">
        <f>E23+E24</f>
        <v>105</v>
      </c>
      <c r="F25" s="35">
        <f>F23+F24</f>
        <v>145</v>
      </c>
    </row>
    <row r="26" spans="1:7" ht="15" customHeight="1" x14ac:dyDescent="0.15">
      <c r="A26" s="13" t="s">
        <v>261</v>
      </c>
      <c r="B26" s="4" t="s">
        <v>262</v>
      </c>
      <c r="C26" s="36">
        <f>C25*C11</f>
        <v>4762.47768</v>
      </c>
      <c r="D26" s="36">
        <f>D25*D11</f>
        <v>5300.64</v>
      </c>
      <c r="E26" s="36">
        <f>E25*E11</f>
        <v>6335.7000000000007</v>
      </c>
      <c r="F26" s="36">
        <f>F25*F11</f>
        <v>9042.2000000000007</v>
      </c>
    </row>
    <row r="27" spans="1:7" ht="15" customHeight="1" x14ac:dyDescent="0.15">
      <c r="A27" s="13" t="s">
        <v>263</v>
      </c>
      <c r="B27" s="4" t="s">
        <v>62</v>
      </c>
      <c r="C27" s="32">
        <f>'01_Constants'!$B$6</f>
        <v>5.8</v>
      </c>
      <c r="D27" s="32">
        <f>'01_Constants'!$B$6</f>
        <v>5.8</v>
      </c>
      <c r="E27" s="32">
        <f>'01_Constants'!$B$6</f>
        <v>5.8</v>
      </c>
      <c r="F27" s="32">
        <f>'01_Constants'!$B$6</f>
        <v>5.8</v>
      </c>
    </row>
    <row r="28" spans="1:7" ht="15" customHeight="1" x14ac:dyDescent="0.15">
      <c r="A28" s="13" t="s">
        <v>264</v>
      </c>
      <c r="B28" s="4" t="s">
        <v>243</v>
      </c>
      <c r="C28" s="36">
        <f>C26/C27</f>
        <v>821.11684137931036</v>
      </c>
      <c r="D28" s="36">
        <f>D26/D27</f>
        <v>913.90344827586216</v>
      </c>
      <c r="E28" s="36">
        <f>E26/E27</f>
        <v>1092.3620689655174</v>
      </c>
      <c r="F28" s="36">
        <f>F26/F27</f>
        <v>1559.0000000000002</v>
      </c>
    </row>
  </sheetData>
  <mergeCells count="2">
    <mergeCell ref="A1:G1"/>
    <mergeCell ref="A2:G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showGridLines="0" zoomScaleNormal="100" workbookViewId="0">
      <selection activeCell="G19" sqref="G19"/>
    </sheetView>
  </sheetViews>
  <sheetFormatPr baseColWidth="10" defaultColWidth="8.6640625" defaultRowHeight="15" customHeight="1" x14ac:dyDescent="0.15"/>
  <cols>
    <col min="1" max="1" width="18" customWidth="1"/>
    <col min="2" max="2" width="22" customWidth="1"/>
    <col min="3" max="3" width="14" customWidth="1"/>
    <col min="4" max="4" width="16" customWidth="1"/>
    <col min="5" max="5" width="14" customWidth="1"/>
    <col min="6" max="6" width="16" customWidth="1"/>
    <col min="7" max="7" width="12" customWidth="1"/>
    <col min="8" max="8" width="18" customWidth="1"/>
    <col min="9" max="9" width="15" customWidth="1"/>
    <col min="10" max="11" width="18" customWidth="1"/>
  </cols>
  <sheetData>
    <row r="1" spans="1:11" ht="21.75" customHeight="1" x14ac:dyDescent="0.15">
      <c r="A1" s="58" t="s">
        <v>265</v>
      </c>
      <c r="B1" s="59"/>
      <c r="C1" s="59"/>
      <c r="D1" s="59"/>
      <c r="E1" s="59"/>
      <c r="F1" s="59"/>
      <c r="G1" s="59"/>
      <c r="H1" s="59"/>
      <c r="I1" s="59"/>
    </row>
    <row r="2" spans="1:11" ht="13" x14ac:dyDescent="0.15"/>
    <row r="3" spans="1:11" ht="19.5" customHeight="1" x14ac:dyDescent="0.15">
      <c r="A3" s="3" t="s">
        <v>266</v>
      </c>
      <c r="B3" s="3" t="s">
        <v>267</v>
      </c>
      <c r="C3" s="3" t="s">
        <v>268</v>
      </c>
      <c r="D3" s="3" t="s">
        <v>269</v>
      </c>
      <c r="E3" s="3" t="s">
        <v>270</v>
      </c>
      <c r="F3" s="3" t="s">
        <v>271</v>
      </c>
      <c r="G3" s="3" t="s">
        <v>272</v>
      </c>
      <c r="H3" s="3" t="s">
        <v>273</v>
      </c>
      <c r="I3" s="3" t="s">
        <v>82</v>
      </c>
      <c r="J3" s="3" t="s">
        <v>274</v>
      </c>
      <c r="K3" s="3" t="s">
        <v>275</v>
      </c>
    </row>
    <row r="4" spans="1:11" ht="13" x14ac:dyDescent="0.15"/>
    <row r="5" spans="1:11" ht="15" customHeight="1" x14ac:dyDescent="0.15">
      <c r="A5" s="4" t="s">
        <v>276</v>
      </c>
      <c r="B5" s="4" t="s">
        <v>277</v>
      </c>
      <c r="C5" s="23">
        <v>1200</v>
      </c>
      <c r="D5" s="24">
        <v>0.9</v>
      </c>
      <c r="E5" s="41">
        <v>9.6</v>
      </c>
      <c r="F5" s="42">
        <f>$K$5</f>
        <v>21.980699999999999</v>
      </c>
      <c r="G5" s="43">
        <v>260</v>
      </c>
      <c r="H5" s="23">
        <v>700000</v>
      </c>
      <c r="I5" s="4" t="s">
        <v>278</v>
      </c>
      <c r="J5" s="21" t="s">
        <v>279</v>
      </c>
      <c r="K5" s="42">
        <f>IF($J$5="GAR 5000",'01_Constants'!$B$10,IF($J$5="GAR 5500",'01_Constants'!$B$12,'01_Constants'!$B$11))</f>
        <v>21.980699999999999</v>
      </c>
    </row>
    <row r="6" spans="1:11" ht="15" customHeight="1" x14ac:dyDescent="0.15">
      <c r="A6" s="4" t="s">
        <v>280</v>
      </c>
      <c r="B6" s="4" t="s">
        <v>281</v>
      </c>
      <c r="C6" s="23">
        <v>1200</v>
      </c>
      <c r="D6" s="24">
        <v>0.88</v>
      </c>
      <c r="E6" s="41">
        <v>7.2</v>
      </c>
      <c r="F6" s="41"/>
      <c r="G6" s="43">
        <v>180</v>
      </c>
      <c r="H6" s="23">
        <v>250000</v>
      </c>
      <c r="I6" s="4" t="s">
        <v>282</v>
      </c>
    </row>
    <row r="7" spans="1:11" ht="15" customHeight="1" x14ac:dyDescent="0.15">
      <c r="A7" s="4" t="s">
        <v>283</v>
      </c>
      <c r="B7" s="4" t="s">
        <v>284</v>
      </c>
      <c r="C7" s="23">
        <v>300</v>
      </c>
      <c r="D7" s="24">
        <v>0.95</v>
      </c>
      <c r="E7" s="41">
        <v>11.5</v>
      </c>
      <c r="F7" s="41"/>
      <c r="G7" s="43">
        <v>450</v>
      </c>
      <c r="H7" s="23">
        <v>10000</v>
      </c>
      <c r="I7" s="4" t="s">
        <v>285</v>
      </c>
    </row>
    <row r="8" spans="1:11" ht="13" x14ac:dyDescent="0.15"/>
    <row r="9" spans="1:11" ht="13" x14ac:dyDescent="0.15"/>
    <row r="10" spans="1:11" ht="15" customHeight="1" x14ac:dyDescent="0.15">
      <c r="A10" s="58" t="s">
        <v>286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</row>
    <row r="11" spans="1:11" ht="15" customHeight="1" x14ac:dyDescent="0.15">
      <c r="A11" s="74" t="s">
        <v>287</v>
      </c>
      <c r="B11" s="70"/>
      <c r="C11" s="70"/>
      <c r="D11" s="70"/>
      <c r="E11" s="70"/>
      <c r="F11" s="70"/>
      <c r="G11" s="70"/>
      <c r="H11" s="70"/>
      <c r="I11" s="70"/>
      <c r="J11" s="70"/>
      <c r="K11" s="71"/>
    </row>
    <row r="12" spans="1:11" ht="15" customHeight="1" x14ac:dyDescent="0.15">
      <c r="A12" s="3" t="s">
        <v>266</v>
      </c>
      <c r="B12" s="3" t="s">
        <v>288</v>
      </c>
      <c r="C12" s="3" t="s">
        <v>289</v>
      </c>
      <c r="D12" s="3" t="s">
        <v>290</v>
      </c>
      <c r="E12" s="3" t="s">
        <v>291</v>
      </c>
      <c r="F12" s="3" t="s">
        <v>292</v>
      </c>
      <c r="G12" s="3" t="s">
        <v>293</v>
      </c>
      <c r="H12" s="3" t="s">
        <v>294</v>
      </c>
      <c r="I12" s="3" t="s">
        <v>295</v>
      </c>
      <c r="J12" s="3" t="s">
        <v>82</v>
      </c>
      <c r="K12" s="3" t="s">
        <v>296</v>
      </c>
    </row>
    <row r="13" spans="1:11" ht="15" customHeight="1" x14ac:dyDescent="0.15">
      <c r="A13" s="4" t="s">
        <v>297</v>
      </c>
      <c r="B13" s="4" t="s">
        <v>298</v>
      </c>
      <c r="C13" s="23">
        <v>1674</v>
      </c>
      <c r="D13" s="24">
        <v>0.98</v>
      </c>
      <c r="E13" s="24">
        <f>'02_Inputs_Base'!$I$24</f>
        <v>0</v>
      </c>
      <c r="F13" s="24">
        <f>'02_Inputs_Base'!$J$24</f>
        <v>0.35</v>
      </c>
      <c r="G13" s="24">
        <f>'02_Inputs_Base'!$K$24</f>
        <v>0.05</v>
      </c>
      <c r="H13" s="4" t="s">
        <v>98</v>
      </c>
      <c r="I13" s="4" t="s">
        <v>299</v>
      </c>
      <c r="J13" s="4" t="s">
        <v>300</v>
      </c>
      <c r="K13" s="4" t="s">
        <v>301</v>
      </c>
    </row>
    <row r="14" spans="1:11" ht="15" customHeight="1" x14ac:dyDescent="0.15">
      <c r="A14" s="4" t="s">
        <v>302</v>
      </c>
      <c r="B14" s="4" t="s">
        <v>298</v>
      </c>
      <c r="C14" s="23">
        <v>337</v>
      </c>
      <c r="D14" s="24">
        <v>0.95</v>
      </c>
      <c r="E14" s="24">
        <f>'02_Inputs_Base'!$I$25</f>
        <v>0.34</v>
      </c>
      <c r="F14" s="24">
        <f>'02_Inputs_Base'!$J$25</f>
        <v>0.31</v>
      </c>
      <c r="G14" s="24">
        <f>'02_Inputs_Base'!$K$25</f>
        <v>0.28999999999999998</v>
      </c>
      <c r="H14" s="4" t="s">
        <v>99</v>
      </c>
      <c r="I14" s="4" t="s">
        <v>299</v>
      </c>
      <c r="J14" s="4" t="s">
        <v>301</v>
      </c>
      <c r="K14" s="4" t="s">
        <v>301</v>
      </c>
    </row>
    <row r="15" spans="1:11" ht="15" customHeight="1" x14ac:dyDescent="0.15">
      <c r="A15" s="4" t="s">
        <v>303</v>
      </c>
      <c r="B15" s="4" t="s">
        <v>298</v>
      </c>
      <c r="C15" s="23">
        <v>714</v>
      </c>
      <c r="D15" s="24">
        <v>0.92</v>
      </c>
      <c r="E15" s="24">
        <v>1</v>
      </c>
      <c r="F15" s="24">
        <v>1</v>
      </c>
      <c r="G15" s="24">
        <v>1</v>
      </c>
      <c r="H15" s="4" t="s">
        <v>304</v>
      </c>
      <c r="I15" s="4" t="s">
        <v>299</v>
      </c>
      <c r="J15" s="4" t="s">
        <v>305</v>
      </c>
      <c r="K15" s="4" t="s">
        <v>306</v>
      </c>
    </row>
    <row r="16" spans="1:11" ht="15" customHeight="1" x14ac:dyDescent="0.15">
      <c r="A16" s="4" t="s">
        <v>307</v>
      </c>
      <c r="B16" s="4" t="s">
        <v>298</v>
      </c>
      <c r="C16" s="23">
        <v>145</v>
      </c>
      <c r="D16" s="24">
        <v>0.85</v>
      </c>
      <c r="E16" s="24">
        <v>1</v>
      </c>
      <c r="F16" s="24">
        <v>1</v>
      </c>
      <c r="G16" s="24">
        <v>1</v>
      </c>
      <c r="H16" s="4" t="s">
        <v>304</v>
      </c>
      <c r="I16" s="4" t="s">
        <v>299</v>
      </c>
      <c r="J16" s="4" t="s">
        <v>308</v>
      </c>
      <c r="K16" s="4" t="s">
        <v>309</v>
      </c>
    </row>
    <row r="17" spans="1:11" ht="15" customHeight="1" x14ac:dyDescent="0.15">
      <c r="A17" s="4" t="s">
        <v>310</v>
      </c>
      <c r="B17" s="4" t="s">
        <v>298</v>
      </c>
      <c r="C17" s="23">
        <v>2382</v>
      </c>
      <c r="D17" s="24">
        <v>0.93</v>
      </c>
      <c r="E17" s="24">
        <v>0.6</v>
      </c>
      <c r="F17" s="24">
        <v>0.45</v>
      </c>
      <c r="G17" s="24">
        <v>0.5</v>
      </c>
      <c r="H17" s="4" t="s">
        <v>100</v>
      </c>
      <c r="I17" s="4" t="s">
        <v>299</v>
      </c>
      <c r="J17" s="4" t="s">
        <v>311</v>
      </c>
      <c r="K17" s="4" t="s">
        <v>312</v>
      </c>
    </row>
    <row r="18" spans="1:11" ht="15" customHeight="1" x14ac:dyDescent="0.15">
      <c r="A18" s="4" t="s">
        <v>277</v>
      </c>
      <c r="B18" s="4" t="s">
        <v>298</v>
      </c>
      <c r="C18" s="23">
        <v>8589</v>
      </c>
      <c r="D18" s="24">
        <v>0.92</v>
      </c>
      <c r="E18" s="24">
        <v>1</v>
      </c>
      <c r="F18" s="24">
        <v>1</v>
      </c>
      <c r="G18" s="24">
        <v>1</v>
      </c>
      <c r="H18" s="4" t="s">
        <v>304</v>
      </c>
      <c r="I18" s="4" t="s">
        <v>299</v>
      </c>
      <c r="J18" s="4" t="s">
        <v>313</v>
      </c>
      <c r="K18" s="4" t="s">
        <v>314</v>
      </c>
    </row>
    <row r="19" spans="1:11" ht="15" customHeight="1" x14ac:dyDescent="0.15">
      <c r="A19" s="4" t="s">
        <v>315</v>
      </c>
      <c r="B19" s="4" t="s">
        <v>298</v>
      </c>
      <c r="C19" s="23">
        <v>3281</v>
      </c>
      <c r="D19" s="24">
        <v>0.88</v>
      </c>
      <c r="E19" s="24">
        <v>1</v>
      </c>
      <c r="F19" s="24">
        <v>1</v>
      </c>
      <c r="G19" s="24">
        <v>1</v>
      </c>
      <c r="H19" s="4" t="s">
        <v>304</v>
      </c>
      <c r="I19" s="4" t="s">
        <v>203</v>
      </c>
      <c r="J19" s="4" t="s">
        <v>316</v>
      </c>
      <c r="K19" s="4" t="s">
        <v>314</v>
      </c>
    </row>
    <row r="20" spans="1:11" ht="15" customHeight="1" x14ac:dyDescent="0.15">
      <c r="A20" s="4" t="s">
        <v>284</v>
      </c>
      <c r="B20" s="4" t="s">
        <v>298</v>
      </c>
      <c r="C20" s="23">
        <v>1648</v>
      </c>
      <c r="D20" s="24">
        <v>0.95</v>
      </c>
      <c r="E20" s="24">
        <v>1</v>
      </c>
      <c r="F20" s="24">
        <v>1</v>
      </c>
      <c r="G20" s="24">
        <v>1</v>
      </c>
      <c r="H20" s="4" t="s">
        <v>304</v>
      </c>
      <c r="I20" s="4" t="s">
        <v>299</v>
      </c>
      <c r="J20" s="4" t="s">
        <v>317</v>
      </c>
      <c r="K20" s="4" t="s">
        <v>314</v>
      </c>
    </row>
    <row r="21" spans="1:11" ht="15" customHeight="1" x14ac:dyDescent="0.15">
      <c r="A21" s="4" t="s">
        <v>318</v>
      </c>
      <c r="B21" s="4" t="s">
        <v>298</v>
      </c>
      <c r="C21" s="23">
        <v>341</v>
      </c>
      <c r="D21" s="24">
        <v>0.95</v>
      </c>
      <c r="E21" s="24">
        <v>0.05</v>
      </c>
      <c r="F21" s="24">
        <v>0.1</v>
      </c>
      <c r="G21" s="24">
        <v>0.25</v>
      </c>
      <c r="H21" s="4" t="s">
        <v>304</v>
      </c>
      <c r="I21" s="4" t="s">
        <v>299</v>
      </c>
      <c r="J21" s="4" t="s">
        <v>319</v>
      </c>
      <c r="K21" s="4" t="s">
        <v>320</v>
      </c>
    </row>
  </sheetData>
  <mergeCells count="3">
    <mergeCell ref="A1:I1"/>
    <mergeCell ref="A11:K11"/>
    <mergeCell ref="A10:K10"/>
  </mergeCells>
  <dataValidations count="1">
    <dataValidation type="list" sqref="J5" xr:uid="{00000000-0002-0000-0600-000000000000}">
      <formula1>"GAR 5000,GAR 5250,GAR 5500"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showGridLines="0" zoomScaleNormal="100" workbookViewId="0">
      <selection activeCell="E6" sqref="E6"/>
    </sheetView>
  </sheetViews>
  <sheetFormatPr baseColWidth="10" defaultColWidth="8.6640625" defaultRowHeight="15" customHeight="1" x14ac:dyDescent="0.15"/>
  <cols>
    <col min="1" max="1" width="18" customWidth="1"/>
    <col min="2" max="2" width="14" customWidth="1"/>
    <col min="3" max="6" width="16" customWidth="1"/>
    <col min="7" max="7" width="30" customWidth="1"/>
  </cols>
  <sheetData>
    <row r="1" spans="1:7" ht="21.75" customHeight="1" x14ac:dyDescent="0.15">
      <c r="A1" s="58" t="s">
        <v>321</v>
      </c>
      <c r="B1" s="59"/>
      <c r="C1" s="59"/>
      <c r="D1" s="59"/>
      <c r="E1" s="59"/>
      <c r="F1" s="59"/>
      <c r="G1" s="59"/>
    </row>
    <row r="2" spans="1:7" ht="15" customHeight="1" x14ac:dyDescent="0.15">
      <c r="A2" s="72" t="s">
        <v>322</v>
      </c>
      <c r="B2" s="61"/>
      <c r="C2" s="61"/>
      <c r="D2" s="61"/>
      <c r="E2" s="61"/>
      <c r="F2" s="61"/>
      <c r="G2" s="62"/>
    </row>
    <row r="3" spans="1:7" ht="15" customHeight="1" x14ac:dyDescent="0.15">
      <c r="A3" s="63"/>
      <c r="B3" s="64"/>
      <c r="C3" s="64"/>
      <c r="D3" s="64"/>
      <c r="E3" s="64"/>
      <c r="F3" s="64"/>
      <c r="G3" s="65"/>
    </row>
    <row r="4" spans="1:7" ht="13" x14ac:dyDescent="0.15"/>
    <row r="5" spans="1:7" ht="19.5" customHeight="1" x14ac:dyDescent="0.15">
      <c r="A5" s="3" t="s">
        <v>220</v>
      </c>
      <c r="B5" s="3" t="s">
        <v>50</v>
      </c>
      <c r="C5" s="3" t="s">
        <v>167</v>
      </c>
      <c r="D5" s="3" t="s">
        <v>168</v>
      </c>
      <c r="E5" s="3" t="s">
        <v>169</v>
      </c>
      <c r="F5" s="3" t="s">
        <v>170</v>
      </c>
      <c r="G5" s="3" t="s">
        <v>323</v>
      </c>
    </row>
    <row r="6" spans="1:7" ht="15" customHeight="1" x14ac:dyDescent="0.15">
      <c r="A6" s="30" t="s">
        <v>324</v>
      </c>
      <c r="B6" s="4" t="s">
        <v>53</v>
      </c>
      <c r="C6" s="32">
        <f>'11_Plants'!$E$5</f>
        <v>9.6</v>
      </c>
      <c r="D6" s="32">
        <f>'11_Plants'!$E$5</f>
        <v>9.6</v>
      </c>
      <c r="E6" s="32">
        <f>'11_Plants'!$E$5</f>
        <v>9.6</v>
      </c>
      <c r="F6" s="32">
        <f>'11_Plants'!$E$5</f>
        <v>9.6</v>
      </c>
    </row>
    <row r="7" spans="1:7" ht="15" customHeight="1" x14ac:dyDescent="0.15">
      <c r="A7" s="30" t="s">
        <v>325</v>
      </c>
      <c r="B7" s="4" t="s">
        <v>72</v>
      </c>
      <c r="C7" s="32">
        <f>'11_Plants'!$F$5</f>
        <v>21.980699999999999</v>
      </c>
      <c r="D7" s="32">
        <f>'11_Plants'!$F$5</f>
        <v>21.980699999999999</v>
      </c>
      <c r="E7" s="32">
        <f>'11_Plants'!$F$5</f>
        <v>21.980699999999999</v>
      </c>
      <c r="F7" s="32">
        <f>'11_Plants'!$F$5</f>
        <v>21.980699999999999</v>
      </c>
    </row>
    <row r="8" spans="1:7" ht="15" customHeight="1" x14ac:dyDescent="0.15">
      <c r="A8" s="30" t="s">
        <v>236</v>
      </c>
      <c r="B8" s="4" t="s">
        <v>243</v>
      </c>
      <c r="C8" s="32">
        <f>'10_FuelLanding'!C14</f>
        <v>331.77689063587604</v>
      </c>
      <c r="D8" s="32">
        <f>'10_FuelLanding'!D14</f>
        <v>367.7131556319863</v>
      </c>
      <c r="E8" s="32">
        <f>'10_FuelLanding'!E14</f>
        <v>436.76478456100125</v>
      </c>
      <c r="F8" s="32">
        <f>'10_FuelLanding'!F14</f>
        <v>548.7108053883635</v>
      </c>
    </row>
    <row r="9" spans="1:7" ht="15" customHeight="1" x14ac:dyDescent="0.15">
      <c r="A9" s="30" t="s">
        <v>326</v>
      </c>
      <c r="B9" s="4" t="s">
        <v>152</v>
      </c>
      <c r="C9" s="32">
        <f>C6*C8</f>
        <v>3185.0581501044098</v>
      </c>
      <c r="D9" s="32">
        <f>D6*D8</f>
        <v>3530.0462940670682</v>
      </c>
      <c r="E9" s="32">
        <f>E6*E8</f>
        <v>4192.9419317856118</v>
      </c>
      <c r="F9" s="32">
        <f>F6*F8</f>
        <v>5267.6237317282894</v>
      </c>
    </row>
    <row r="10" spans="1:7" ht="15" customHeight="1" x14ac:dyDescent="0.15">
      <c r="A10" s="30" t="s">
        <v>327</v>
      </c>
      <c r="B10" s="4" t="s">
        <v>152</v>
      </c>
      <c r="C10" s="17">
        <f>'11_Plants'!$G$5</f>
        <v>260</v>
      </c>
      <c r="D10" s="17">
        <f>'11_Plants'!$G$5</f>
        <v>260</v>
      </c>
      <c r="E10" s="17">
        <f>'11_Plants'!$G$5</f>
        <v>260</v>
      </c>
      <c r="F10" s="17">
        <f>'11_Plants'!$G$5</f>
        <v>260</v>
      </c>
    </row>
    <row r="11" spans="1:7" ht="15" customHeight="1" x14ac:dyDescent="0.15">
      <c r="A11" s="30" t="s">
        <v>236</v>
      </c>
      <c r="B11" s="4" t="s">
        <v>239</v>
      </c>
      <c r="C11" s="32">
        <f>'10_FuelLanding'!C12</f>
        <v>7292.6882999999998</v>
      </c>
      <c r="D11" s="32">
        <f>'10_FuelLanding'!D12</f>
        <v>8082.592560000001</v>
      </c>
      <c r="E11" s="32">
        <f>'10_FuelLanding'!E12</f>
        <v>9600.3956999999991</v>
      </c>
      <c r="F11" s="32">
        <f>'10_FuelLanding'!F12</f>
        <v>12061.0476</v>
      </c>
    </row>
    <row r="12" spans="1:7" ht="15" customHeight="1" x14ac:dyDescent="0.15">
      <c r="A12" s="30" t="s">
        <v>328</v>
      </c>
      <c r="B12" s="4" t="s">
        <v>152</v>
      </c>
      <c r="C12" s="45">
        <f>C9+C10</f>
        <v>3445.0581501044098</v>
      </c>
      <c r="D12" s="45">
        <f>D9+D10</f>
        <v>3790.0462940670682</v>
      </c>
      <c r="E12" s="45">
        <f>E9+E10</f>
        <v>4452.9419317856118</v>
      </c>
      <c r="F12" s="45">
        <f>F9+F10</f>
        <v>5527.6237317282894</v>
      </c>
      <c r="G12" s="4" t="s">
        <v>329</v>
      </c>
    </row>
    <row r="13" spans="1:7" ht="13" x14ac:dyDescent="0.15"/>
    <row r="14" spans="1:7" ht="13" x14ac:dyDescent="0.15"/>
    <row r="15" spans="1:7" ht="15" customHeight="1" x14ac:dyDescent="0.15">
      <c r="A15" s="30" t="s">
        <v>330</v>
      </c>
      <c r="B15" s="4" t="s">
        <v>53</v>
      </c>
      <c r="C15" s="32">
        <f>'11_Plants'!$E$6</f>
        <v>7.2</v>
      </c>
      <c r="D15" s="32">
        <f>'11_Plants'!$E$6</f>
        <v>7.2</v>
      </c>
      <c r="E15" s="32">
        <f>'11_Plants'!$E$6</f>
        <v>7.2</v>
      </c>
      <c r="F15" s="32">
        <f>'11_Plants'!$E$6</f>
        <v>7.2</v>
      </c>
    </row>
    <row r="16" spans="1:7" ht="15" customHeight="1" x14ac:dyDescent="0.15">
      <c r="A16" s="30" t="s">
        <v>331</v>
      </c>
      <c r="B16" s="4" t="s">
        <v>57</v>
      </c>
      <c r="C16" s="32">
        <f>'01_Constants'!$B$5</f>
        <v>1.055056</v>
      </c>
      <c r="D16" s="32">
        <f>'01_Constants'!$B$5</f>
        <v>1.055056</v>
      </c>
      <c r="E16" s="32">
        <f>'01_Constants'!$B$5</f>
        <v>1.055056</v>
      </c>
      <c r="F16" s="32">
        <f>'01_Constants'!$B$5</f>
        <v>1.055056</v>
      </c>
    </row>
    <row r="17" spans="1:7" ht="15" customHeight="1" x14ac:dyDescent="0.15">
      <c r="A17" s="30" t="s">
        <v>330</v>
      </c>
      <c r="B17" s="4" t="s">
        <v>332</v>
      </c>
      <c r="C17" s="17">
        <f>C15/C16</f>
        <v>6.8242823129767523</v>
      </c>
      <c r="D17" s="17">
        <f>D15/D16</f>
        <v>6.8242823129767523</v>
      </c>
      <c r="E17" s="17">
        <f>E15/E16</f>
        <v>6.8242823129767523</v>
      </c>
      <c r="F17" s="17">
        <f>F15/F16</f>
        <v>6.8242823129767523</v>
      </c>
    </row>
    <row r="18" spans="1:7" ht="15" customHeight="1" x14ac:dyDescent="0.15">
      <c r="A18" s="30" t="s">
        <v>255</v>
      </c>
      <c r="B18" s="4" t="s">
        <v>256</v>
      </c>
      <c r="C18" s="32">
        <f>'10_FuelLanding'!C21</f>
        <v>671.23912499999994</v>
      </c>
      <c r="D18" s="32">
        <f>'10_FuelLanding'!D21</f>
        <v>814.75254000000007</v>
      </c>
      <c r="E18" s="32">
        <f>'10_FuelLanding'!E21</f>
        <v>1143.5184250000002</v>
      </c>
      <c r="F18" s="32">
        <f>'10_FuelLanding'!F21</f>
        <v>1880.69965</v>
      </c>
    </row>
    <row r="19" spans="1:7" ht="15" customHeight="1" x14ac:dyDescent="0.15">
      <c r="A19" s="30" t="s">
        <v>333</v>
      </c>
      <c r="B19" s="4" t="s">
        <v>152</v>
      </c>
      <c r="C19" s="17">
        <f>C17*C18</f>
        <v>4580.7252885154912</v>
      </c>
      <c r="D19" s="17">
        <f>D17*D18</f>
        <v>5560.1013481748842</v>
      </c>
      <c r="E19" s="17">
        <f>E17*E18</f>
        <v>7803.6925622905346</v>
      </c>
      <c r="F19" s="17">
        <f>F17*F18</f>
        <v>12834.425357516569</v>
      </c>
    </row>
    <row r="20" spans="1:7" ht="15" customHeight="1" x14ac:dyDescent="0.15">
      <c r="A20" s="30" t="s">
        <v>334</v>
      </c>
      <c r="B20" s="4" t="s">
        <v>152</v>
      </c>
      <c r="C20" s="32">
        <f>'11_Plants'!$G$6</f>
        <v>180</v>
      </c>
      <c r="D20" s="32">
        <f>'11_Plants'!$G$6</f>
        <v>180</v>
      </c>
      <c r="E20" s="32">
        <f>'11_Plants'!$G$6</f>
        <v>180</v>
      </c>
      <c r="F20" s="32">
        <f>'11_Plants'!$G$6</f>
        <v>180</v>
      </c>
    </row>
    <row r="21" spans="1:7" ht="15" customHeight="1" x14ac:dyDescent="0.15">
      <c r="A21" s="30" t="s">
        <v>335</v>
      </c>
      <c r="B21" s="4" t="s">
        <v>152</v>
      </c>
      <c r="C21" s="45">
        <f>C19+C20</f>
        <v>4760.7252885154912</v>
      </c>
      <c r="D21" s="45">
        <f>D19+D20</f>
        <v>5740.1013481748842</v>
      </c>
      <c r="E21" s="45">
        <f>E19+E20</f>
        <v>7983.6925622905346</v>
      </c>
      <c r="F21" s="45">
        <f>F19+F20</f>
        <v>13014.425357516569</v>
      </c>
      <c r="G21" s="4" t="s">
        <v>336</v>
      </c>
    </row>
    <row r="22" spans="1:7" ht="13" x14ac:dyDescent="0.15"/>
    <row r="23" spans="1:7" ht="13" x14ac:dyDescent="0.15"/>
    <row r="24" spans="1:7" ht="15" customHeight="1" x14ac:dyDescent="0.15">
      <c r="A24" s="30" t="s">
        <v>337</v>
      </c>
      <c r="B24" s="4" t="s">
        <v>53</v>
      </c>
      <c r="C24" s="32">
        <f>'11_Plants'!$E$7</f>
        <v>11.5</v>
      </c>
      <c r="D24" s="32">
        <f>'11_Plants'!$E$7</f>
        <v>11.5</v>
      </c>
      <c r="E24" s="32">
        <f>'11_Plants'!$E$7</f>
        <v>11.5</v>
      </c>
      <c r="F24" s="32">
        <f>'11_Plants'!$E$7</f>
        <v>11.5</v>
      </c>
    </row>
    <row r="25" spans="1:7" ht="15" customHeight="1" x14ac:dyDescent="0.15">
      <c r="A25" s="30" t="s">
        <v>264</v>
      </c>
      <c r="B25" s="4" t="s">
        <v>243</v>
      </c>
      <c r="C25" s="32">
        <f>'10_FuelLanding'!C28</f>
        <v>821.11684137931036</v>
      </c>
      <c r="D25" s="32">
        <f>'10_FuelLanding'!D28</f>
        <v>913.90344827586216</v>
      </c>
      <c r="E25" s="32">
        <f>'10_FuelLanding'!E28</f>
        <v>1092.3620689655174</v>
      </c>
      <c r="F25" s="32">
        <f>'10_FuelLanding'!F28</f>
        <v>1559.0000000000002</v>
      </c>
    </row>
    <row r="26" spans="1:7" ht="15" customHeight="1" x14ac:dyDescent="0.15">
      <c r="A26" s="30" t="s">
        <v>264</v>
      </c>
      <c r="B26" s="4" t="s">
        <v>152</v>
      </c>
      <c r="C26" s="17">
        <f>C24*C25</f>
        <v>9442.8436758620683</v>
      </c>
      <c r="D26" s="17">
        <f>D24*D25</f>
        <v>10509.889655172416</v>
      </c>
      <c r="E26" s="17">
        <f>E24*E25</f>
        <v>12562.163793103451</v>
      </c>
      <c r="F26" s="17">
        <f>F24*F25</f>
        <v>17928.500000000004</v>
      </c>
    </row>
    <row r="27" spans="1:7" ht="15" customHeight="1" x14ac:dyDescent="0.15">
      <c r="A27" s="30" t="s">
        <v>338</v>
      </c>
      <c r="B27" s="4" t="s">
        <v>152</v>
      </c>
      <c r="C27" s="32">
        <f>'11_Plants'!$G$7</f>
        <v>450</v>
      </c>
      <c r="D27" s="32">
        <f>'11_Plants'!$G$7</f>
        <v>450</v>
      </c>
      <c r="E27" s="32">
        <f>'11_Plants'!$G$7</f>
        <v>450</v>
      </c>
      <c r="F27" s="32">
        <f>'11_Plants'!$G$7</f>
        <v>450</v>
      </c>
    </row>
    <row r="28" spans="1:7" ht="15" customHeight="1" x14ac:dyDescent="0.15">
      <c r="A28" s="30" t="s">
        <v>339</v>
      </c>
      <c r="B28" s="4" t="s">
        <v>152</v>
      </c>
      <c r="C28" s="45">
        <f>C26+C27</f>
        <v>9892.8436758620683</v>
      </c>
      <c r="D28" s="45">
        <f>D26+D27</f>
        <v>10959.889655172416</v>
      </c>
      <c r="E28" s="45">
        <f>E26+E27</f>
        <v>13012.163793103451</v>
      </c>
      <c r="F28" s="45">
        <f>F26+F27</f>
        <v>18378.500000000004</v>
      </c>
      <c r="G28" s="4" t="s">
        <v>340</v>
      </c>
    </row>
    <row r="29" spans="1:7" ht="13" x14ac:dyDescent="0.15"/>
    <row r="30" spans="1:7" ht="13" x14ac:dyDescent="0.15"/>
    <row r="31" spans="1:7" ht="15" customHeight="1" x14ac:dyDescent="0.15">
      <c r="A31" s="30" t="s">
        <v>341</v>
      </c>
      <c r="B31" s="4" t="s">
        <v>93</v>
      </c>
      <c r="C31" s="26">
        <f>'11_Plants'!$H$5</f>
        <v>700000</v>
      </c>
      <c r="D31" s="26">
        <f>'11_Plants'!$H$5</f>
        <v>700000</v>
      </c>
      <c r="E31" s="26">
        <f>'11_Plants'!$H$5</f>
        <v>700000</v>
      </c>
      <c r="F31" s="26">
        <f>'11_Plants'!$H$5</f>
        <v>700000</v>
      </c>
    </row>
    <row r="32" spans="1:7" ht="15" customHeight="1" x14ac:dyDescent="0.15">
      <c r="A32" s="30" t="s">
        <v>342</v>
      </c>
      <c r="B32" s="4" t="s">
        <v>93</v>
      </c>
      <c r="C32" s="46">
        <f>'11_Plants'!$H$6*'03_Scenarios'!C16</f>
        <v>250000</v>
      </c>
      <c r="D32" s="46">
        <f>'11_Plants'!$H$6*'03_Scenarios'!D16</f>
        <v>242500</v>
      </c>
      <c r="E32" s="46">
        <f>'11_Plants'!$H$6*'03_Scenarios'!E16</f>
        <v>212500</v>
      </c>
      <c r="F32" s="46">
        <f>'11_Plants'!$H$6*'03_Scenarios'!F16</f>
        <v>175000</v>
      </c>
    </row>
    <row r="33" spans="1:7" ht="15" customHeight="1" x14ac:dyDescent="0.15">
      <c r="A33" s="30" t="s">
        <v>343</v>
      </c>
      <c r="B33" s="4" t="s">
        <v>93</v>
      </c>
      <c r="C33" s="46">
        <f>'11_Plants'!$H$7+('11_Plants'!$H$6-C32)</f>
        <v>10000</v>
      </c>
      <c r="D33" s="46">
        <f>'11_Plants'!$H$7+('11_Plants'!$H$6-D32)</f>
        <v>17500</v>
      </c>
      <c r="E33" s="46">
        <f>'11_Plants'!$H$7+('11_Plants'!$H$6-E32)</f>
        <v>47500</v>
      </c>
      <c r="F33" s="46">
        <f>'11_Plants'!$H$7+('11_Plants'!$H$6-F32)</f>
        <v>85000</v>
      </c>
    </row>
    <row r="34" spans="1:7" ht="15" customHeight="1" x14ac:dyDescent="0.15">
      <c r="A34" s="30" t="s">
        <v>344</v>
      </c>
      <c r="B34" s="4" t="s">
        <v>93</v>
      </c>
      <c r="C34" s="46">
        <f>SUM(C31:C33)</f>
        <v>960000</v>
      </c>
      <c r="D34" s="46">
        <f>SUM(D31:D33)</f>
        <v>960000</v>
      </c>
      <c r="E34" s="46">
        <f>SUM(E31:E33)</f>
        <v>960000</v>
      </c>
      <c r="F34" s="46">
        <f>SUM(F31:F33)</f>
        <v>960000</v>
      </c>
    </row>
    <row r="35" spans="1:7" ht="15" customHeight="1" x14ac:dyDescent="0.15">
      <c r="A35" s="30" t="s">
        <v>345</v>
      </c>
      <c r="B35" s="4" t="s">
        <v>152</v>
      </c>
      <c r="C35" s="45">
        <f>(C12*C31+C21*C32+C28*C33)/C34</f>
        <v>3854.8442332922714</v>
      </c>
      <c r="D35" s="45">
        <f>(D12*D31+D21*D32+D28*D33)/D34</f>
        <v>4413.3385955675767</v>
      </c>
      <c r="E35" s="45">
        <f>(E12*E31+E21*E32+E28*E33)/E34</f>
        <v>5657.9914603219595</v>
      </c>
      <c r="F35" s="45">
        <f>(F12*F31+F21*F32+F28*F33)/F34</f>
        <v>8030.2432810158352</v>
      </c>
      <c r="G35" s="4" t="s">
        <v>346</v>
      </c>
    </row>
    <row r="36" spans="1:7" ht="13" x14ac:dyDescent="0.15"/>
    <row r="37" spans="1:7" ht="13" x14ac:dyDescent="0.15"/>
    <row r="38" spans="1:7" ht="15" customHeight="1" x14ac:dyDescent="0.15">
      <c r="A38" s="58" t="s">
        <v>347</v>
      </c>
      <c r="B38" s="59"/>
      <c r="C38" s="59"/>
      <c r="D38" s="59"/>
      <c r="E38" s="59"/>
      <c r="F38" s="59"/>
      <c r="G38" s="59"/>
    </row>
    <row r="39" spans="1:7" ht="15" customHeight="1" x14ac:dyDescent="0.15">
      <c r="A39" s="69" t="s">
        <v>348</v>
      </c>
      <c r="B39" s="70"/>
      <c r="C39" s="70"/>
      <c r="D39" s="70"/>
      <c r="E39" s="70"/>
      <c r="F39" s="70"/>
      <c r="G39" s="71"/>
    </row>
    <row r="40" spans="1:7" ht="15" customHeight="1" x14ac:dyDescent="0.15">
      <c r="A40" s="3" t="s">
        <v>266</v>
      </c>
      <c r="B40" s="3" t="s">
        <v>50</v>
      </c>
      <c r="C40" s="3" t="s">
        <v>167</v>
      </c>
      <c r="D40" s="3" t="s">
        <v>168</v>
      </c>
      <c r="E40" s="3" t="s">
        <v>169</v>
      </c>
      <c r="F40" s="3" t="s">
        <v>170</v>
      </c>
      <c r="G40" s="3" t="s">
        <v>82</v>
      </c>
    </row>
    <row r="41" spans="1:7" ht="15" customHeight="1" x14ac:dyDescent="0.15">
      <c r="A41" s="4" t="s">
        <v>297</v>
      </c>
      <c r="B41" s="4" t="s">
        <v>152</v>
      </c>
      <c r="C41" s="41">
        <v>0</v>
      </c>
      <c r="D41" s="41">
        <v>0</v>
      </c>
      <c r="E41" s="41">
        <v>0</v>
      </c>
      <c r="F41" s="41">
        <v>0</v>
      </c>
      <c r="G41" s="4" t="s">
        <v>349</v>
      </c>
    </row>
    <row r="42" spans="1:7" ht="15" customHeight="1" x14ac:dyDescent="0.15">
      <c r="A42" s="4" t="s">
        <v>302</v>
      </c>
      <c r="B42" s="4" t="s">
        <v>152</v>
      </c>
      <c r="C42" s="41">
        <v>0</v>
      </c>
      <c r="D42" s="41">
        <v>0</v>
      </c>
      <c r="E42" s="41">
        <v>0</v>
      </c>
      <c r="F42" s="41">
        <v>0</v>
      </c>
      <c r="G42" s="4" t="s">
        <v>349</v>
      </c>
    </row>
    <row r="43" spans="1:7" ht="15" customHeight="1" x14ac:dyDescent="0.15">
      <c r="A43" s="4" t="s">
        <v>303</v>
      </c>
      <c r="B43" s="4" t="s">
        <v>152</v>
      </c>
      <c r="C43" s="41">
        <v>600</v>
      </c>
      <c r="D43" s="41">
        <v>650</v>
      </c>
      <c r="E43" s="41">
        <v>700</v>
      </c>
      <c r="F43" s="41">
        <v>800</v>
      </c>
      <c r="G43" s="4" t="s">
        <v>350</v>
      </c>
    </row>
    <row r="44" spans="1:7" ht="15" customHeight="1" x14ac:dyDescent="0.15">
      <c r="A44" s="4" t="s">
        <v>307</v>
      </c>
      <c r="B44" s="4" t="s">
        <v>152</v>
      </c>
      <c r="C44" s="41">
        <v>1200</v>
      </c>
      <c r="D44" s="41">
        <v>1250</v>
      </c>
      <c r="E44" s="41">
        <v>1300</v>
      </c>
      <c r="F44" s="41">
        <v>1400</v>
      </c>
      <c r="G44" s="4" t="s">
        <v>351</v>
      </c>
    </row>
    <row r="45" spans="1:7" ht="15" customHeight="1" x14ac:dyDescent="0.15">
      <c r="A45" s="4" t="s">
        <v>310</v>
      </c>
      <c r="B45" s="4" t="s">
        <v>152</v>
      </c>
      <c r="C45" s="41">
        <v>1500</v>
      </c>
      <c r="D45" s="41">
        <v>1600</v>
      </c>
      <c r="E45" s="41">
        <v>1900</v>
      </c>
      <c r="F45" s="41">
        <v>2300</v>
      </c>
      <c r="G45" s="4" t="s">
        <v>352</v>
      </c>
    </row>
    <row r="46" spans="1:7" ht="15" customHeight="1" x14ac:dyDescent="0.15">
      <c r="A46" s="4" t="s">
        <v>318</v>
      </c>
      <c r="B46" s="4" t="s">
        <v>152</v>
      </c>
      <c r="C46" s="41">
        <v>3000</v>
      </c>
      <c r="D46" s="41">
        <v>3200</v>
      </c>
      <c r="E46" s="41">
        <v>3500</v>
      </c>
      <c r="F46" s="41">
        <v>4200</v>
      </c>
      <c r="G46" s="4" t="s">
        <v>353</v>
      </c>
    </row>
    <row r="47" spans="1:7" ht="15" customHeight="1" x14ac:dyDescent="0.15">
      <c r="A47" s="4" t="s">
        <v>277</v>
      </c>
      <c r="B47" s="4" t="s">
        <v>152</v>
      </c>
      <c r="C47" s="32">
        <f>C12</f>
        <v>3445.0581501044098</v>
      </c>
      <c r="D47" s="32">
        <f>D12</f>
        <v>3790.0462940670682</v>
      </c>
      <c r="E47" s="32">
        <f>E12</f>
        <v>4452.9419317856118</v>
      </c>
      <c r="F47" s="32">
        <f>F12</f>
        <v>5527.6237317282894</v>
      </c>
      <c r="G47" s="4" t="s">
        <v>354</v>
      </c>
    </row>
    <row r="48" spans="1:7" ht="15" customHeight="1" x14ac:dyDescent="0.15">
      <c r="A48" s="4" t="s">
        <v>315</v>
      </c>
      <c r="B48" s="4" t="s">
        <v>152</v>
      </c>
      <c r="C48" s="32">
        <f>C21</f>
        <v>4760.7252885154912</v>
      </c>
      <c r="D48" s="32">
        <f>D21</f>
        <v>5740.1013481748842</v>
      </c>
      <c r="E48" s="32">
        <f>E21</f>
        <v>7983.6925622905346</v>
      </c>
      <c r="F48" s="32">
        <f>F21</f>
        <v>13014.425357516569</v>
      </c>
      <c r="G48" s="4" t="s">
        <v>355</v>
      </c>
    </row>
    <row r="49" spans="1:7" ht="15" customHeight="1" x14ac:dyDescent="0.15">
      <c r="A49" s="4" t="s">
        <v>284</v>
      </c>
      <c r="B49" s="4" t="s">
        <v>152</v>
      </c>
      <c r="C49" s="32">
        <f>C28</f>
        <v>9892.8436758620683</v>
      </c>
      <c r="D49" s="32">
        <f>D28</f>
        <v>10959.889655172416</v>
      </c>
      <c r="E49" s="32">
        <f>E28</f>
        <v>13012.163793103451</v>
      </c>
      <c r="F49" s="32">
        <f>F28</f>
        <v>18378.500000000004</v>
      </c>
      <c r="G49" s="4" t="s">
        <v>356</v>
      </c>
    </row>
  </sheetData>
  <mergeCells count="4">
    <mergeCell ref="A38:G38"/>
    <mergeCell ref="A39:G39"/>
    <mergeCell ref="A1:G1"/>
    <mergeCell ref="A2:G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71"/>
  <sheetViews>
    <sheetView showGridLines="0" zoomScaleNormal="100" workbookViewId="0">
      <selection sqref="A1:G1"/>
    </sheetView>
  </sheetViews>
  <sheetFormatPr baseColWidth="10" defaultColWidth="8.6640625" defaultRowHeight="15" customHeight="1" x14ac:dyDescent="0.15"/>
  <cols>
    <col min="1" max="1" width="24" customWidth="1"/>
    <col min="2" max="2" width="12" customWidth="1"/>
    <col min="3" max="6" width="16" customWidth="1"/>
    <col min="7" max="7" width="26" customWidth="1"/>
    <col min="8" max="10" width="12" customWidth="1"/>
    <col min="11" max="11" width="26" customWidth="1"/>
    <col min="13" max="16" width="13" hidden="1" customWidth="1"/>
  </cols>
  <sheetData>
    <row r="1" spans="1:16" ht="21.75" customHeight="1" x14ac:dyDescent="0.15">
      <c r="A1" s="58" t="s">
        <v>357</v>
      </c>
      <c r="B1" s="59"/>
      <c r="C1" s="59"/>
      <c r="D1" s="59"/>
      <c r="E1" s="59"/>
      <c r="F1" s="59"/>
      <c r="G1" s="59"/>
    </row>
    <row r="2" spans="1:16" ht="15" customHeight="1" x14ac:dyDescent="0.15">
      <c r="A2" s="72" t="s">
        <v>358</v>
      </c>
      <c r="B2" s="61"/>
      <c r="C2" s="61"/>
      <c r="D2" s="61"/>
      <c r="E2" s="61"/>
      <c r="F2" s="61"/>
      <c r="G2" s="62"/>
    </row>
    <row r="3" spans="1:16" ht="15" customHeight="1" x14ac:dyDescent="0.15">
      <c r="A3" s="63"/>
      <c r="B3" s="64"/>
      <c r="C3" s="64"/>
      <c r="D3" s="64"/>
      <c r="E3" s="64"/>
      <c r="F3" s="64"/>
      <c r="G3" s="65"/>
    </row>
    <row r="4" spans="1:16" ht="13" x14ac:dyDescent="0.15"/>
    <row r="5" spans="1:16" ht="19.5" customHeight="1" x14ac:dyDescent="0.15">
      <c r="A5" s="3" t="s">
        <v>220</v>
      </c>
      <c r="B5" s="3" t="s">
        <v>50</v>
      </c>
      <c r="C5" s="3" t="s">
        <v>167</v>
      </c>
      <c r="D5" s="3" t="s">
        <v>168</v>
      </c>
      <c r="E5" s="3" t="s">
        <v>169</v>
      </c>
      <c r="F5" s="3" t="s">
        <v>170</v>
      </c>
      <c r="G5" s="3" t="s">
        <v>230</v>
      </c>
      <c r="M5" s="3" t="s">
        <v>359</v>
      </c>
      <c r="N5" s="3" t="s">
        <v>360</v>
      </c>
      <c r="O5" s="3" t="s">
        <v>361</v>
      </c>
      <c r="P5" s="3" t="s">
        <v>362</v>
      </c>
    </row>
    <row r="6" spans="1:16" ht="15" customHeight="1" x14ac:dyDescent="0.15">
      <c r="A6" s="4" t="s">
        <v>363</v>
      </c>
      <c r="B6" s="4" t="s">
        <v>106</v>
      </c>
      <c r="C6" s="26">
        <f>'02_Inputs_Base'!$L$18</f>
        <v>8925</v>
      </c>
      <c r="D6" s="26">
        <f>'02_Inputs_Base'!$L$18</f>
        <v>8925</v>
      </c>
      <c r="E6" s="26">
        <f>'02_Inputs_Base'!$L$18</f>
        <v>8925</v>
      </c>
      <c r="F6" s="26">
        <f>'02_Inputs_Base'!$L$18</f>
        <v>8925</v>
      </c>
      <c r="G6" s="4" t="s">
        <v>364</v>
      </c>
      <c r="M6" s="47">
        <f>IF(H32&lt;C6,9,1+IF(H24&lt;C6,1,0)+IF(H25&lt;C6,1,0)+IF(H26&lt;C6,1,0)+IF(H27&lt;C6,1,0)+IF(H28&lt;C6,1,0)+IF(H29&lt;C6,1,0)+IF(H30&lt;C6,1,0)+IF(H31&lt;C6,1,0))</f>
        <v>7</v>
      </c>
      <c r="N6" s="47">
        <f>IF(H45&lt;D6,9,1+IF(H37&lt;D6,1,0)+IF(H38&lt;D6,1,0)+IF(H39&lt;D6,1,0)+IF(H40&lt;D6,1,0)+IF(H41&lt;D6,1,0)+IF(H42&lt;D6,1,0)+IF(H43&lt;D6,1,0)+IF(H44&lt;D6,1,0))</f>
        <v>7</v>
      </c>
      <c r="O6" s="47">
        <f>IF(H58&lt;E6,9,1+IF(H50&lt;E6,1,0)+IF(H51&lt;E6,1,0)+IF(H52&lt;E6,1,0)+IF(H53&lt;E6,1,0)+IF(H54&lt;E6,1,0)+IF(H55&lt;E6,1,0)+IF(H56&lt;E6,1,0)+IF(H57&lt;E6,1,0))</f>
        <v>7</v>
      </c>
      <c r="P6" s="47">
        <f>IF(H71&lt;F6,9,1+IF(H63&lt;F6,1,0)+IF(H64&lt;F6,1,0)+IF(H65&lt;F6,1,0)+IF(H66&lt;F6,1,0)+IF(H67&lt;F6,1,0)+IF(H68&lt;F6,1,0)+IF(H69&lt;F6,1,0)+IF(H70&lt;F6,1,0))</f>
        <v>7</v>
      </c>
    </row>
    <row r="7" spans="1:16" ht="15" customHeight="1" x14ac:dyDescent="0.15">
      <c r="A7" s="4" t="s">
        <v>365</v>
      </c>
      <c r="B7" s="4" t="s">
        <v>106</v>
      </c>
      <c r="C7" s="26">
        <f>'02_Inputs_Base'!$L$19</f>
        <v>10185</v>
      </c>
      <c r="D7" s="26">
        <f>'02_Inputs_Base'!$L$19</f>
        <v>10185</v>
      </c>
      <c r="E7" s="26">
        <f>'02_Inputs_Base'!$L$19</f>
        <v>10185</v>
      </c>
      <c r="F7" s="26">
        <f>'02_Inputs_Base'!$L$19</f>
        <v>10185</v>
      </c>
      <c r="M7" s="47">
        <f>IF(I32&lt;C7,9,1+IF(I24&lt;C7,1,0)+IF(I25&lt;C7,1,0)+IF(I26&lt;C7,1,0)+IF(I27&lt;C7,1,0)+IF(I28&lt;C7,1,0)+IF(I29&lt;C7,1,0)+IF(I30&lt;C7,1,0)+IF(I31&lt;C7,1,0))</f>
        <v>8</v>
      </c>
      <c r="N7" s="47">
        <f>IF(I45&lt;D7,9,1+IF(I37&lt;D7,1,0)+IF(I38&lt;D7,1,0)+IF(I39&lt;D7,1,0)+IF(I40&lt;D7,1,0)+IF(I41&lt;D7,1,0)+IF(I42&lt;D7,1,0)+IF(I43&lt;D7,1,0)+IF(I44&lt;D7,1,0))</f>
        <v>8</v>
      </c>
      <c r="O7" s="47">
        <f>IF(I58&lt;E7,9,1+IF(I50&lt;E7,1,0)+IF(I51&lt;E7,1,0)+IF(I52&lt;E7,1,0)+IF(I53&lt;E7,1,0)+IF(I54&lt;E7,1,0)+IF(I55&lt;E7,1,0)+IF(I56&lt;E7,1,0)+IF(I57&lt;E7,1,0))</f>
        <v>8</v>
      </c>
      <c r="P7" s="47">
        <f>IF(I71&lt;F7,9,1+IF(I63&lt;F7,1,0)+IF(I64&lt;F7,1,0)+IF(I65&lt;F7,1,0)+IF(I66&lt;F7,1,0)+IF(I67&lt;F7,1,0)+IF(I68&lt;F7,1,0)+IF(I69&lt;F7,1,0)+IF(I70&lt;F7,1,0))</f>
        <v>8</v>
      </c>
    </row>
    <row r="8" spans="1:16" ht="15" customHeight="1" x14ac:dyDescent="0.15">
      <c r="A8" s="4" t="s">
        <v>366</v>
      </c>
      <c r="B8" s="4" t="s">
        <v>106</v>
      </c>
      <c r="C8" s="26">
        <f>'02_Inputs_Base'!$L$20</f>
        <v>12180</v>
      </c>
      <c r="D8" s="26">
        <f>'02_Inputs_Base'!$L$20</f>
        <v>12180</v>
      </c>
      <c r="E8" s="26">
        <f>'02_Inputs_Base'!$L$20</f>
        <v>12180</v>
      </c>
      <c r="F8" s="26">
        <f>'02_Inputs_Base'!$L$20</f>
        <v>12180</v>
      </c>
      <c r="M8" s="47">
        <f>IF(J32&lt;C8,9,1+IF(J24&lt;C8,1,0)+IF(J25&lt;C8,1,0)+IF(J26&lt;C8,1,0)+IF(J27&lt;C8,1,0)+IF(J28&lt;C8,1,0)+IF(J29&lt;C8,1,0)+IF(J30&lt;C8,1,0)+IF(J31&lt;C8,1,0))</f>
        <v>8</v>
      </c>
      <c r="N8" s="47">
        <f>IF(J45&lt;D8,9,1+IF(J37&lt;D8,1,0)+IF(J38&lt;D8,1,0)+IF(J39&lt;D8,1,0)+IF(J40&lt;D8,1,0)+IF(J41&lt;D8,1,0)+IF(J42&lt;D8,1,0)+IF(J43&lt;D8,1,0)+IF(J44&lt;D8,1,0))</f>
        <v>8</v>
      </c>
      <c r="O8" s="47">
        <f>IF(J58&lt;E8,9,1+IF(J50&lt;E8,1,0)+IF(J51&lt;E8,1,0)+IF(J52&lt;E8,1,0)+IF(J53&lt;E8,1,0)+IF(J54&lt;E8,1,0)+IF(J55&lt;E8,1,0)+IF(J56&lt;E8,1,0)+IF(J57&lt;E8,1,0))</f>
        <v>9</v>
      </c>
      <c r="P8" s="47">
        <f>IF(J71&lt;F8,9,1+IF(J63&lt;F8,1,0)+IF(J64&lt;F8,1,0)+IF(J65&lt;F8,1,0)+IF(J66&lt;F8,1,0)+IF(J67&lt;F8,1,0)+IF(J68&lt;F8,1,0)+IF(J69&lt;F8,1,0)+IF(J70&lt;F8,1,0))</f>
        <v>9</v>
      </c>
    </row>
    <row r="9" spans="1:16" ht="15" customHeight="1" x14ac:dyDescent="0.15">
      <c r="A9" s="4" t="s">
        <v>367</v>
      </c>
      <c r="B9" s="4" t="s">
        <v>90</v>
      </c>
      <c r="C9" s="4" t="str">
        <f t="shared" ref="C9:F11" si="0">CHOOSE(M6,"Solar","Wind","Geothermal","Biomass","Hydro","ESS","Coal","Gas","Oil")</f>
        <v>Coal</v>
      </c>
      <c r="D9" s="4" t="str">
        <f t="shared" si="0"/>
        <v>Coal</v>
      </c>
      <c r="E9" s="4" t="str">
        <f t="shared" si="0"/>
        <v>Coal</v>
      </c>
      <c r="F9" s="4" t="str">
        <f t="shared" si="0"/>
        <v>Coal</v>
      </c>
      <c r="G9" s="4" t="s">
        <v>368</v>
      </c>
    </row>
    <row r="10" spans="1:16" ht="15" customHeight="1" x14ac:dyDescent="0.15">
      <c r="A10" s="4" t="s">
        <v>369</v>
      </c>
      <c r="B10" s="4" t="s">
        <v>90</v>
      </c>
      <c r="C10" s="4" t="str">
        <f t="shared" si="0"/>
        <v>Gas</v>
      </c>
      <c r="D10" s="4" t="str">
        <f t="shared" si="0"/>
        <v>Gas</v>
      </c>
      <c r="E10" s="4" t="str">
        <f t="shared" si="0"/>
        <v>Gas</v>
      </c>
      <c r="F10" s="4" t="str">
        <f t="shared" si="0"/>
        <v>Gas</v>
      </c>
    </row>
    <row r="11" spans="1:16" ht="15" customHeight="1" x14ac:dyDescent="0.15">
      <c r="A11" s="4" t="s">
        <v>370</v>
      </c>
      <c r="B11" s="4" t="s">
        <v>90</v>
      </c>
      <c r="C11" s="4" t="str">
        <f t="shared" si="0"/>
        <v>Gas</v>
      </c>
      <c r="D11" s="4" t="str">
        <f t="shared" si="0"/>
        <v>Gas</v>
      </c>
      <c r="E11" s="4" t="str">
        <f t="shared" si="0"/>
        <v>Oil</v>
      </c>
      <c r="F11" s="4" t="str">
        <f t="shared" si="0"/>
        <v>Oil</v>
      </c>
    </row>
    <row r="12" spans="1:16" ht="15" customHeight="1" x14ac:dyDescent="0.15">
      <c r="A12" s="4" t="s">
        <v>371</v>
      </c>
      <c r="B12" s="4" t="s">
        <v>152</v>
      </c>
      <c r="C12" s="17">
        <f>IF('02_Inputs_Base'!$I$36=1,MIN(CHOOSE(M6,G24,G25,G26,G27,G28,G29,G30,G31,G32),'02_Inputs_Base'!$I$37),CHOOSE(M6,G24,G25,G26,G27,G28,G29,G30,G31,G32))</f>
        <v>3445.0581501044098</v>
      </c>
      <c r="D12" s="17">
        <f>IF('02_Inputs_Base'!$I$36=1,MIN(CHOOSE(N6,G37,G38,G39,G40,G41,G42,G43,G44,G45),'02_Inputs_Base'!$I$37),CHOOSE(N6,G37,G38,G39,G40,G41,G42,G43,G44,G45))</f>
        <v>3790.0462940670682</v>
      </c>
      <c r="E12" s="17">
        <f>IF('02_Inputs_Base'!$I$36=1,MIN(CHOOSE(O6,G50,G51,G52,G53,G54,G55,G56,G57,G58),'02_Inputs_Base'!$I$37),CHOOSE(O6,G50,G51,G52,G53,G54,G55,G56,G57,G58))</f>
        <v>4452.9419317856118</v>
      </c>
      <c r="F12" s="17">
        <f>IF('02_Inputs_Base'!$I$36=1,MIN(CHOOSE(P6,G63,G64,G65,G66,G67,G68,G69,G70,G71),'02_Inputs_Base'!$I$37),CHOOSE(P6,G63,G64,G65,G66,G67,G68,G69,G70,G71))</f>
        <v>5527.6237317282894</v>
      </c>
      <c r="G12" s="4" t="s">
        <v>372</v>
      </c>
    </row>
    <row r="13" spans="1:16" ht="15" customHeight="1" x14ac:dyDescent="0.15">
      <c r="A13" s="4" t="s">
        <v>373</v>
      </c>
      <c r="B13" s="4" t="s">
        <v>152</v>
      </c>
      <c r="C13" s="17">
        <f>IF('02_Inputs_Base'!$I$36=1,MIN(CHOOSE(M7,G24,G25,G26,G27,G28,G29,G30,G31,G32),'02_Inputs_Base'!$I$37),CHOOSE(M7,G24,G25,G26,G27,G28,G29,G30,G31,G32))</f>
        <v>4760.7252885154912</v>
      </c>
      <c r="D13" s="17">
        <f>IF('02_Inputs_Base'!$I$36=1,MIN(CHOOSE(N7,G37,G38,G39,G40,G41,G42,G43,G44,G45),'02_Inputs_Base'!$I$37),CHOOSE(N7,G37,G38,G39,G40,G41,G42,G43,G44,G45))</f>
        <v>5740.1013481748842</v>
      </c>
      <c r="E13" s="17">
        <f>IF('02_Inputs_Base'!$I$36=1,MIN(CHOOSE(O7,G50,G51,G52,G53,G54,G55,G56,G57,G58),'02_Inputs_Base'!$I$37),CHOOSE(O7,G50,G51,G52,G53,G54,G55,G56,G57,G58))</f>
        <v>7983.6925622905346</v>
      </c>
      <c r="F13" s="17">
        <f>IF('02_Inputs_Base'!$I$36=1,MIN(CHOOSE(P7,G63,G64,G65,G66,G67,G68,G69,G70,G71),'02_Inputs_Base'!$I$37),CHOOSE(P7,G63,G64,G65,G66,G67,G68,G69,G70,G71))</f>
        <v>13014.425357516569</v>
      </c>
    </row>
    <row r="14" spans="1:16" ht="15" customHeight="1" x14ac:dyDescent="0.15">
      <c r="A14" s="4" t="s">
        <v>374</v>
      </c>
      <c r="B14" s="4" t="s">
        <v>152</v>
      </c>
      <c r="C14" s="17">
        <f>IF('02_Inputs_Base'!$I$36=1,MIN(CHOOSE(M8,G24,G25,G26,G27,G28,G29,G30,G31,G32),'02_Inputs_Base'!$I$37),CHOOSE(M8,G24,G25,G26,G27,G28,G29,G30,G31,G32))</f>
        <v>4760.7252885154912</v>
      </c>
      <c r="D14" s="17">
        <f>IF('02_Inputs_Base'!$I$36=1,MIN(CHOOSE(N8,G37,G38,G39,G40,G41,G42,G43,G44,G45),'02_Inputs_Base'!$I$37),CHOOSE(N8,G37,G38,G39,G40,G41,G42,G43,G44,G45))</f>
        <v>5740.1013481748842</v>
      </c>
      <c r="E14" s="17">
        <f>IF('02_Inputs_Base'!$I$36=1,MIN(CHOOSE(O8,G50,G51,G52,G53,G54,G55,G56,G57,G58),'02_Inputs_Base'!$I$37),CHOOSE(O8,G50,G51,G52,G53,G54,G55,G56,G57,G58))</f>
        <v>13012.163793103451</v>
      </c>
      <c r="F14" s="17">
        <f>IF('02_Inputs_Base'!$I$36=1,MIN(CHOOSE(P8,G63,G64,G65,G66,G67,G68,G69,G70,G71),'02_Inputs_Base'!$I$37),CHOOSE(P8,G63,G64,G65,G66,G67,G68,G69,G70,G71))</f>
        <v>18378.500000000004</v>
      </c>
    </row>
    <row r="15" spans="1:16" ht="15" customHeight="1" x14ac:dyDescent="0.15">
      <c r="A15" s="4" t="s">
        <v>375</v>
      </c>
      <c r="B15" s="4" t="s">
        <v>152</v>
      </c>
      <c r="C15" s="17">
        <f>(C12*'02_Inputs_Base'!$J$18+C13*'02_Inputs_Base'!$J$19+C14*'02_Inputs_Base'!$J$20)/24</f>
        <v>4322.1695757117977</v>
      </c>
      <c r="D15" s="17">
        <f>(D12*'02_Inputs_Base'!$J$18+D13*'02_Inputs_Base'!$J$19+D14*'02_Inputs_Base'!$J$20)/24</f>
        <v>5090.0829968056123</v>
      </c>
      <c r="E15" s="17">
        <f>(E12*'02_Inputs_Base'!$J$18+E13*'02_Inputs_Base'!$J$19+E14*'02_Inputs_Base'!$J$20)/24</f>
        <v>8063.8934931587892</v>
      </c>
      <c r="F15" s="17">
        <f>(F12*'02_Inputs_Base'!$J$18+F13*'02_Inputs_Base'!$J$19+F14*'02_Inputs_Base'!$J$20)/24</f>
        <v>11859.843476208001</v>
      </c>
      <c r="G15" s="4" t="s">
        <v>376</v>
      </c>
    </row>
    <row r="16" spans="1:16" ht="15" customHeight="1" x14ac:dyDescent="0.15">
      <c r="A16" s="4" t="s">
        <v>377</v>
      </c>
      <c r="B16" s="4" t="s">
        <v>152</v>
      </c>
      <c r="C16" s="17">
        <f>C15*(1+'03_Scenarios'!$C$18)</f>
        <v>4538.2780544973875</v>
      </c>
      <c r="D16" s="17">
        <f>D15*(1+'03_Scenarios'!$D$18)</f>
        <v>5446.3888065820056</v>
      </c>
      <c r="E16" s="17">
        <f>E15*(1+'03_Scenarios'!$E$18)</f>
        <v>8870.2828424746695</v>
      </c>
      <c r="F16" s="17">
        <f>F15*(1+'03_Scenarios'!$F$18)</f>
        <v>13638.819997639201</v>
      </c>
      <c r="G16" s="4" t="s">
        <v>378</v>
      </c>
    </row>
    <row r="17" spans="1:11" ht="15" customHeight="1" x14ac:dyDescent="0.15">
      <c r="A17" s="4" t="s">
        <v>379</v>
      </c>
      <c r="B17" s="4" t="s">
        <v>106</v>
      </c>
      <c r="C17" s="46">
        <f>J32-C8</f>
        <v>1858.1518490650415</v>
      </c>
      <c r="D17" s="46">
        <f>J45-D8</f>
        <v>1771.5334490650403</v>
      </c>
      <c r="E17" s="46">
        <f>J58-E8</f>
        <v>1425.0598490650409</v>
      </c>
      <c r="F17" s="46">
        <f>J71-F8</f>
        <v>991.96784906504035</v>
      </c>
      <c r="G17" s="4" t="s">
        <v>380</v>
      </c>
    </row>
    <row r="18" spans="1:11" ht="15" customHeight="1" x14ac:dyDescent="0.15">
      <c r="A18" s="4" t="s">
        <v>381</v>
      </c>
      <c r="B18" s="4" t="s">
        <v>118</v>
      </c>
      <c r="C18" s="48">
        <f>IF(J32&gt;0,C8/J32,0)</f>
        <v>0.86763557845480943</v>
      </c>
      <c r="D18" s="48">
        <f>IF(J45&gt;0,D8/J45,0)</f>
        <v>0.87302231288534382</v>
      </c>
      <c r="E18" s="48">
        <f>IF(J58&gt;0,E8/J58,0)</f>
        <v>0.89525515764908792</v>
      </c>
      <c r="F18" s="48">
        <f>IF(J71&gt;0,F8/J71,0)</f>
        <v>0.92469099071362737</v>
      </c>
      <c r="G18" s="4" t="s">
        <v>382</v>
      </c>
    </row>
    <row r="19" spans="1:11" ht="15" customHeight="1" x14ac:dyDescent="0.15">
      <c r="A19" s="4" t="s">
        <v>383</v>
      </c>
      <c r="B19" s="4" t="s">
        <v>384</v>
      </c>
      <c r="C19" s="4" t="str">
        <f>IF(AND('12_PlantSRMC'!C12&lt;='12_PlantSRMC'!C21,'12_PlantSRMC'!C21&lt;='12_PlantSRMC'!C28),"OK","FLAG")</f>
        <v>OK</v>
      </c>
      <c r="D19" s="4" t="str">
        <f>IF(AND('12_PlantSRMC'!D12&lt;='12_PlantSRMC'!D21,'12_PlantSRMC'!D21&lt;='12_PlantSRMC'!D28),"OK","FLAG")</f>
        <v>OK</v>
      </c>
      <c r="E19" s="4" t="str">
        <f>IF(AND('12_PlantSRMC'!E12&lt;='12_PlantSRMC'!E21,'12_PlantSRMC'!E21&lt;='12_PlantSRMC'!E28),"OK","FLAG")</f>
        <v>OK</v>
      </c>
      <c r="F19" s="4" t="str">
        <f>IF(AND('12_PlantSRMC'!F12&lt;='12_PlantSRMC'!F21,'12_PlantSRMC'!F21&lt;='12_PlantSRMC'!F28),"OK","FLAG")</f>
        <v>OK</v>
      </c>
      <c r="G19" s="4" t="s">
        <v>385</v>
      </c>
    </row>
    <row r="20" spans="1:11" ht="13" x14ac:dyDescent="0.15"/>
    <row r="21" spans="1:11" ht="13" x14ac:dyDescent="0.15"/>
    <row r="22" spans="1:11" ht="15" customHeight="1" x14ac:dyDescent="0.15">
      <c r="A22" s="58" t="s">
        <v>386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</row>
    <row r="23" spans="1:11" ht="15" customHeight="1" x14ac:dyDescent="0.15">
      <c r="A23" s="3" t="s">
        <v>266</v>
      </c>
      <c r="B23" s="3" t="s">
        <v>387</v>
      </c>
      <c r="C23" s="3" t="s">
        <v>388</v>
      </c>
      <c r="D23" s="3" t="s">
        <v>389</v>
      </c>
      <c r="E23" s="3" t="s">
        <v>390</v>
      </c>
      <c r="F23" s="3" t="s">
        <v>391</v>
      </c>
      <c r="G23" s="3" t="s">
        <v>392</v>
      </c>
      <c r="H23" s="3" t="s">
        <v>393</v>
      </c>
      <c r="I23" s="3" t="s">
        <v>394</v>
      </c>
      <c r="J23" s="3" t="s">
        <v>395</v>
      </c>
      <c r="K23" s="3" t="s">
        <v>396</v>
      </c>
    </row>
    <row r="24" spans="1:11" ht="15" customHeight="1" x14ac:dyDescent="0.15">
      <c r="A24" s="4" t="s">
        <v>297</v>
      </c>
      <c r="B24" s="26">
        <f>'11_Plants'!$C$13</f>
        <v>1674</v>
      </c>
      <c r="C24" s="33">
        <f>'11_Plants'!$D$13</f>
        <v>0.98</v>
      </c>
      <c r="D24" s="46">
        <f>B24*C24*'11_Plants'!$E$13*'02_Inputs_Base'!$I$12*1</f>
        <v>0</v>
      </c>
      <c r="E24" s="46">
        <f>B24*C24*'11_Plants'!$F$13*'02_Inputs_Base'!$I$12*1</f>
        <v>585.66563999999994</v>
      </c>
      <c r="F24" s="46">
        <f>B24*C24*'11_Plants'!$G$13*'02_Inputs_Base'!$I$12*1</f>
        <v>83.666520000000006</v>
      </c>
      <c r="G24" s="32">
        <f>'12_PlantSRMC'!$C$41</f>
        <v>0</v>
      </c>
      <c r="H24" s="46">
        <f>D24</f>
        <v>0</v>
      </c>
      <c r="I24" s="46">
        <f>E24</f>
        <v>585.66563999999994</v>
      </c>
      <c r="J24" s="46">
        <f>F24</f>
        <v>83.666520000000006</v>
      </c>
      <c r="K24" s="4" t="str">
        <f>'11_Plants'!$J$13</f>
        <v>Daylight-driven profile</v>
      </c>
    </row>
    <row r="25" spans="1:11" ht="15" customHeight="1" x14ac:dyDescent="0.15">
      <c r="A25" s="4" t="s">
        <v>302</v>
      </c>
      <c r="B25" s="26">
        <f>'11_Plants'!$C$14</f>
        <v>337</v>
      </c>
      <c r="C25" s="33">
        <f>'11_Plants'!$D$14</f>
        <v>0.95</v>
      </c>
      <c r="D25" s="46">
        <f>B25*C25*'11_Plants'!$E$14*'02_Inputs_Base'!$I$13*1</f>
        <v>103.40844999999999</v>
      </c>
      <c r="E25" s="46">
        <f>B25*C25*'11_Plants'!$F$14*'02_Inputs_Base'!$I$13*1</f>
        <v>94.284174999999991</v>
      </c>
      <c r="F25" s="46">
        <f>B25*C25*'11_Plants'!$G$14*'02_Inputs_Base'!$I$13*1</f>
        <v>88.201324999999983</v>
      </c>
      <c r="G25" s="32">
        <f>'12_PlantSRMC'!$C$42</f>
        <v>0</v>
      </c>
      <c r="H25" s="46">
        <f t="shared" ref="H25:J32" si="1">H24+D25</f>
        <v>103.40844999999999</v>
      </c>
      <c r="I25" s="46">
        <f t="shared" si="1"/>
        <v>679.94981499999994</v>
      </c>
      <c r="J25" s="46">
        <f t="shared" si="1"/>
        <v>171.86784499999999</v>
      </c>
      <c r="K25" s="4" t="str">
        <f>'11_Plants'!$J$14</f>
        <v>Variable RE</v>
      </c>
    </row>
    <row r="26" spans="1:11" ht="15" customHeight="1" x14ac:dyDescent="0.15">
      <c r="A26" s="4" t="s">
        <v>303</v>
      </c>
      <c r="B26" s="26">
        <f>'11_Plants'!$C$15</f>
        <v>714</v>
      </c>
      <c r="C26" s="33">
        <f>'11_Plants'!$D$15</f>
        <v>0.92</v>
      </c>
      <c r="D26" s="46">
        <f>B26*C26*'11_Plants'!$E$15*1*1</f>
        <v>656.88</v>
      </c>
      <c r="E26" s="46">
        <f>B26*C26*'11_Plants'!$F$15*1*1</f>
        <v>656.88</v>
      </c>
      <c r="F26" s="46">
        <f>B26*C26*'11_Plants'!$G$15*1*1</f>
        <v>656.88</v>
      </c>
      <c r="G26" s="32">
        <f>'12_PlantSRMC'!$C$43</f>
        <v>600</v>
      </c>
      <c r="H26" s="46">
        <f t="shared" si="1"/>
        <v>760.28845000000001</v>
      </c>
      <c r="I26" s="46">
        <f t="shared" si="1"/>
        <v>1336.8298150000001</v>
      </c>
      <c r="J26" s="46">
        <f t="shared" si="1"/>
        <v>828.74784499999998</v>
      </c>
      <c r="K26" s="4" t="str">
        <f>'11_Plants'!$J$15</f>
        <v>Baseload renewable</v>
      </c>
    </row>
    <row r="27" spans="1:11" ht="15" customHeight="1" x14ac:dyDescent="0.15">
      <c r="A27" s="4" t="s">
        <v>307</v>
      </c>
      <c r="B27" s="26">
        <f>'11_Plants'!$C$16</f>
        <v>145</v>
      </c>
      <c r="C27" s="33">
        <f>'11_Plants'!$D$16</f>
        <v>0.85</v>
      </c>
      <c r="D27" s="46">
        <f>B27*C27*'11_Plants'!$E$16*1*1</f>
        <v>123.25</v>
      </c>
      <c r="E27" s="46">
        <f>B27*C27*'11_Plants'!$F$16*1*1</f>
        <v>123.25</v>
      </c>
      <c r="F27" s="46">
        <f>B27*C27*'11_Plants'!$G$16*1*1</f>
        <v>123.25</v>
      </c>
      <c r="G27" s="32">
        <f>'12_PlantSRMC'!$C$44</f>
        <v>1200</v>
      </c>
      <c r="H27" s="46">
        <f t="shared" si="1"/>
        <v>883.53845000000001</v>
      </c>
      <c r="I27" s="46">
        <f t="shared" si="1"/>
        <v>1460.0798150000001</v>
      </c>
      <c r="J27" s="46">
        <f t="shared" si="1"/>
        <v>951.99784499999998</v>
      </c>
      <c r="K27" s="4" t="str">
        <f>'11_Plants'!$J$16</f>
        <v>Stable renewable / thermal</v>
      </c>
    </row>
    <row r="28" spans="1:11" ht="15" customHeight="1" x14ac:dyDescent="0.15">
      <c r="A28" s="4" t="s">
        <v>310</v>
      </c>
      <c r="B28" s="26">
        <f>'11_Plants'!$C$17</f>
        <v>2382</v>
      </c>
      <c r="C28" s="33">
        <f>'11_Plants'!$D$17</f>
        <v>0.93</v>
      </c>
      <c r="D28" s="46">
        <f>MIN(B28*C28*'11_Plants'!$E$17*'02_Inputs_Base'!$I$14*'02_Inputs_Base'!$L$33,'02_Inputs_Base'!$L$31)</f>
        <v>780.48780487804868</v>
      </c>
      <c r="E28" s="46">
        <f>MIN(B28*C28*'11_Plants'!$F$17*'02_Inputs_Base'!$I$14*'02_Inputs_Base'!$L$33,'02_Inputs_Base'!$L$31)</f>
        <v>585.36585365853648</v>
      </c>
      <c r="F28" s="46">
        <f>MIN(B28*C28*'11_Plants'!$G$17*'02_Inputs_Base'!$I$14*'02_Inputs_Base'!$L$33,'02_Inputs_Base'!$L$31)</f>
        <v>650.40650406504051</v>
      </c>
      <c r="G28" s="32">
        <f>'12_PlantSRMC'!$C$45</f>
        <v>1500</v>
      </c>
      <c r="H28" s="46">
        <f t="shared" si="1"/>
        <v>1664.0262548780488</v>
      </c>
      <c r="I28" s="46">
        <f t="shared" si="1"/>
        <v>2045.4456686585365</v>
      </c>
      <c r="J28" s="46">
        <f t="shared" si="1"/>
        <v>1602.4043490650406</v>
      </c>
      <c r="K28" s="4" t="str">
        <f>'11_Plants'!$J$17</f>
        <v>Peaking/flex resource</v>
      </c>
    </row>
    <row r="29" spans="1:11" ht="15" customHeight="1" x14ac:dyDescent="0.15">
      <c r="A29" s="4" t="s">
        <v>318</v>
      </c>
      <c r="B29" s="26">
        <f>'11_Plants'!$C$21</f>
        <v>341</v>
      </c>
      <c r="C29" s="33">
        <f>'11_Plants'!$D$21</f>
        <v>0.95</v>
      </c>
      <c r="D29" s="46">
        <f>B29*C29*'11_Plants'!$E$21*1*1</f>
        <v>16.197500000000002</v>
      </c>
      <c r="E29" s="46">
        <f>B29*C29*'11_Plants'!$F$21*1*1</f>
        <v>32.395000000000003</v>
      </c>
      <c r="F29" s="46">
        <f>B29*C29*'11_Plants'!$G$21*1*1</f>
        <v>80.987499999999997</v>
      </c>
      <c r="G29" s="32">
        <f>'12_PlantSRMC'!$C$46</f>
        <v>3000</v>
      </c>
      <c r="H29" s="46">
        <f t="shared" si="1"/>
        <v>1680.2237548780488</v>
      </c>
      <c r="I29" s="46">
        <f t="shared" si="1"/>
        <v>2077.8406686585367</v>
      </c>
      <c r="J29" s="46">
        <f t="shared" si="1"/>
        <v>1683.3918490650406</v>
      </c>
      <c r="K29" s="4" t="str">
        <f>'11_Plants'!$J$21</f>
        <v>Short-duration flexibility</v>
      </c>
    </row>
    <row r="30" spans="1:11" ht="15" customHeight="1" x14ac:dyDescent="0.15">
      <c r="A30" s="4" t="s">
        <v>277</v>
      </c>
      <c r="B30" s="26">
        <f>'11_Plants'!$C$18</f>
        <v>8589</v>
      </c>
      <c r="C30" s="33">
        <f>'11_Plants'!$D$18</f>
        <v>0.92</v>
      </c>
      <c r="D30" s="46">
        <f>B30*C30*'11_Plants'!$E$18*1*1</f>
        <v>7901.88</v>
      </c>
      <c r="E30" s="46">
        <f>B30*C30*'11_Plants'!$F$18*1*1</f>
        <v>7901.88</v>
      </c>
      <c r="F30" s="46">
        <f>B30*C30*'11_Plants'!$G$18*1*1</f>
        <v>7901.88</v>
      </c>
      <c r="G30" s="32">
        <f>'12_PlantSRMC'!$C$47</f>
        <v>3445.0581501044098</v>
      </c>
      <c r="H30" s="46">
        <f t="shared" si="1"/>
        <v>9582.1037548780496</v>
      </c>
      <c r="I30" s="46">
        <f t="shared" si="1"/>
        <v>9979.7206686585378</v>
      </c>
      <c r="J30" s="46">
        <f t="shared" si="1"/>
        <v>9585.2718490650404</v>
      </c>
      <c r="K30" s="4" t="str">
        <f>'11_Plants'!$J$18</f>
        <v>Backbone baseload</v>
      </c>
    </row>
    <row r="31" spans="1:11" ht="15" customHeight="1" x14ac:dyDescent="0.15">
      <c r="A31" s="4" t="s">
        <v>315</v>
      </c>
      <c r="B31" s="26">
        <f>'11_Plants'!$C$19</f>
        <v>3281</v>
      </c>
      <c r="C31" s="33">
        <f>'11_Plants'!$D$19</f>
        <v>0.88</v>
      </c>
      <c r="D31" s="46">
        <f>B31*C31*'11_Plants'!$E$19*1*'03_Scenarios'!$C16</f>
        <v>2887.28</v>
      </c>
      <c r="E31" s="46">
        <f>B31*C31*'11_Plants'!$F$19*1*'03_Scenarios'!$C16</f>
        <v>2887.28</v>
      </c>
      <c r="F31" s="46">
        <f>B31*C31*'11_Plants'!$G$19*1*'03_Scenarios'!$C16</f>
        <v>2887.28</v>
      </c>
      <c r="G31" s="32">
        <f>'12_PlantSRMC'!$C$48</f>
        <v>4760.7252885154912</v>
      </c>
      <c r="H31" s="46">
        <f t="shared" si="1"/>
        <v>12469.38375487805</v>
      </c>
      <c r="I31" s="46">
        <f t="shared" si="1"/>
        <v>12867.000668658538</v>
      </c>
      <c r="J31" s="46">
        <f t="shared" si="1"/>
        <v>12472.551849065041</v>
      </c>
      <c r="K31" s="4" t="str">
        <f>'11_Plants'!$J$19</f>
        <v>Fuel-constrained thermal; derated by LNG availability assumption</v>
      </c>
    </row>
    <row r="32" spans="1:11" ht="15" customHeight="1" x14ac:dyDescent="0.15">
      <c r="A32" s="4" t="s">
        <v>284</v>
      </c>
      <c r="B32" s="26">
        <f>'11_Plants'!$C$20</f>
        <v>1648</v>
      </c>
      <c r="C32" s="33">
        <f>'11_Plants'!$D$20</f>
        <v>0.95</v>
      </c>
      <c r="D32" s="46">
        <f>B32*C32*'11_Plants'!$E$20*1*1</f>
        <v>1565.6</v>
      </c>
      <c r="E32" s="46">
        <f>B32*C32*'11_Plants'!$F$20*1*1</f>
        <v>1565.6</v>
      </c>
      <c r="F32" s="46">
        <f>B32*C32*'11_Plants'!$G$20*1*1</f>
        <v>1565.6</v>
      </c>
      <c r="G32" s="32">
        <f>'12_PlantSRMC'!$C$49</f>
        <v>9892.8436758620683</v>
      </c>
      <c r="H32" s="46">
        <f t="shared" si="1"/>
        <v>14034.983754878051</v>
      </c>
      <c r="I32" s="46">
        <f t="shared" si="1"/>
        <v>14432.600668658539</v>
      </c>
      <c r="J32" s="46">
        <f t="shared" si="1"/>
        <v>14038.151849065041</v>
      </c>
      <c r="K32" s="4" t="str">
        <f>'11_Plants'!$J$20</f>
        <v>Peaker / scarcity resource</v>
      </c>
    </row>
    <row r="33" spans="1:11" ht="13" x14ac:dyDescent="0.15"/>
    <row r="34" spans="1:11" ht="13" x14ac:dyDescent="0.15"/>
    <row r="35" spans="1:11" ht="15" customHeight="1" x14ac:dyDescent="0.15">
      <c r="A35" s="58" t="s">
        <v>397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</row>
    <row r="36" spans="1:11" ht="15" customHeight="1" x14ac:dyDescent="0.15">
      <c r="A36" s="3" t="s">
        <v>266</v>
      </c>
      <c r="B36" s="3" t="s">
        <v>387</v>
      </c>
      <c r="C36" s="3" t="s">
        <v>388</v>
      </c>
      <c r="D36" s="3" t="s">
        <v>389</v>
      </c>
      <c r="E36" s="3" t="s">
        <v>390</v>
      </c>
      <c r="F36" s="3" t="s">
        <v>391</v>
      </c>
      <c r="G36" s="3" t="s">
        <v>392</v>
      </c>
      <c r="H36" s="3" t="s">
        <v>393</v>
      </c>
      <c r="I36" s="3" t="s">
        <v>394</v>
      </c>
      <c r="J36" s="3" t="s">
        <v>395</v>
      </c>
      <c r="K36" s="3" t="s">
        <v>396</v>
      </c>
    </row>
    <row r="37" spans="1:11" ht="15" customHeight="1" x14ac:dyDescent="0.15">
      <c r="A37" s="4" t="s">
        <v>297</v>
      </c>
      <c r="B37" s="26">
        <f>'11_Plants'!$C$13</f>
        <v>1674</v>
      </c>
      <c r="C37" s="33">
        <f>'11_Plants'!$D$13</f>
        <v>0.98</v>
      </c>
      <c r="D37" s="46">
        <f>B37*C37*'11_Plants'!$E$13*'02_Inputs_Base'!$I$12*1</f>
        <v>0</v>
      </c>
      <c r="E37" s="46">
        <f>B37*C37*'11_Plants'!$F$13*'02_Inputs_Base'!$I$12*1</f>
        <v>585.66563999999994</v>
      </c>
      <c r="F37" s="46">
        <f>B37*C37*'11_Plants'!$G$13*'02_Inputs_Base'!$I$12*1</f>
        <v>83.666520000000006</v>
      </c>
      <c r="G37" s="32">
        <f>'12_PlantSRMC'!$D$41</f>
        <v>0</v>
      </c>
      <c r="H37" s="46">
        <f>D37</f>
        <v>0</v>
      </c>
      <c r="I37" s="46">
        <f>E37</f>
        <v>585.66563999999994</v>
      </c>
      <c r="J37" s="46">
        <f>F37</f>
        <v>83.666520000000006</v>
      </c>
      <c r="K37" s="4" t="str">
        <f>'11_Plants'!$J$13</f>
        <v>Daylight-driven profile</v>
      </c>
    </row>
    <row r="38" spans="1:11" ht="15" customHeight="1" x14ac:dyDescent="0.15">
      <c r="A38" s="4" t="s">
        <v>302</v>
      </c>
      <c r="B38" s="26">
        <f>'11_Plants'!$C$14</f>
        <v>337</v>
      </c>
      <c r="C38" s="33">
        <f>'11_Plants'!$D$14</f>
        <v>0.95</v>
      </c>
      <c r="D38" s="46">
        <f>B38*C38*'11_Plants'!$E$14*'02_Inputs_Base'!$I$13*1</f>
        <v>103.40844999999999</v>
      </c>
      <c r="E38" s="46">
        <f>B38*C38*'11_Plants'!$F$14*'02_Inputs_Base'!$I$13*1</f>
        <v>94.284174999999991</v>
      </c>
      <c r="F38" s="46">
        <f>B38*C38*'11_Plants'!$G$14*'02_Inputs_Base'!$I$13*1</f>
        <v>88.201324999999983</v>
      </c>
      <c r="G38" s="32">
        <f>'12_PlantSRMC'!$D$42</f>
        <v>0</v>
      </c>
      <c r="H38" s="46">
        <f t="shared" ref="H38:J45" si="2">H37+D38</f>
        <v>103.40844999999999</v>
      </c>
      <c r="I38" s="46">
        <f t="shared" si="2"/>
        <v>679.94981499999994</v>
      </c>
      <c r="J38" s="46">
        <f t="shared" si="2"/>
        <v>171.86784499999999</v>
      </c>
      <c r="K38" s="4" t="str">
        <f>'11_Plants'!$J$14</f>
        <v>Variable RE</v>
      </c>
    </row>
    <row r="39" spans="1:11" ht="15" customHeight="1" x14ac:dyDescent="0.15">
      <c r="A39" s="4" t="s">
        <v>303</v>
      </c>
      <c r="B39" s="26">
        <f>'11_Plants'!$C$15</f>
        <v>714</v>
      </c>
      <c r="C39" s="33">
        <f>'11_Plants'!$D$15</f>
        <v>0.92</v>
      </c>
      <c r="D39" s="46">
        <f>B39*C39*'11_Plants'!$E$15*1*1</f>
        <v>656.88</v>
      </c>
      <c r="E39" s="46">
        <f>B39*C39*'11_Plants'!$F$15*1*1</f>
        <v>656.88</v>
      </c>
      <c r="F39" s="46">
        <f>B39*C39*'11_Plants'!$G$15*1*1</f>
        <v>656.88</v>
      </c>
      <c r="G39" s="32">
        <f>'12_PlantSRMC'!$D$43</f>
        <v>650</v>
      </c>
      <c r="H39" s="46">
        <f t="shared" si="2"/>
        <v>760.28845000000001</v>
      </c>
      <c r="I39" s="46">
        <f t="shared" si="2"/>
        <v>1336.8298150000001</v>
      </c>
      <c r="J39" s="46">
        <f t="shared" si="2"/>
        <v>828.74784499999998</v>
      </c>
      <c r="K39" s="4" t="str">
        <f>'11_Plants'!$J$15</f>
        <v>Baseload renewable</v>
      </c>
    </row>
    <row r="40" spans="1:11" ht="15" customHeight="1" x14ac:dyDescent="0.15">
      <c r="A40" s="4" t="s">
        <v>307</v>
      </c>
      <c r="B40" s="26">
        <f>'11_Plants'!$C$16</f>
        <v>145</v>
      </c>
      <c r="C40" s="33">
        <f>'11_Plants'!$D$16</f>
        <v>0.85</v>
      </c>
      <c r="D40" s="46">
        <f>B40*C40*'11_Plants'!$E$16*1*1</f>
        <v>123.25</v>
      </c>
      <c r="E40" s="46">
        <f>B40*C40*'11_Plants'!$F$16*1*1</f>
        <v>123.25</v>
      </c>
      <c r="F40" s="46">
        <f>B40*C40*'11_Plants'!$G$16*1*1</f>
        <v>123.25</v>
      </c>
      <c r="G40" s="32">
        <f>'12_PlantSRMC'!$D$44</f>
        <v>1250</v>
      </c>
      <c r="H40" s="46">
        <f t="shared" si="2"/>
        <v>883.53845000000001</v>
      </c>
      <c r="I40" s="46">
        <f t="shared" si="2"/>
        <v>1460.0798150000001</v>
      </c>
      <c r="J40" s="46">
        <f t="shared" si="2"/>
        <v>951.99784499999998</v>
      </c>
      <c r="K40" s="4" t="str">
        <f>'11_Plants'!$J$16</f>
        <v>Stable renewable / thermal</v>
      </c>
    </row>
    <row r="41" spans="1:11" ht="15" customHeight="1" x14ac:dyDescent="0.15">
      <c r="A41" s="4" t="s">
        <v>310</v>
      </c>
      <c r="B41" s="26">
        <f>'11_Plants'!$C$17</f>
        <v>2382</v>
      </c>
      <c r="C41" s="33">
        <f>'11_Plants'!$D$17</f>
        <v>0.93</v>
      </c>
      <c r="D41" s="46">
        <f>MIN(B41*C41*'11_Plants'!$E$17*'02_Inputs_Base'!$I$14*'02_Inputs_Base'!$L$33,'02_Inputs_Base'!$L$31)</f>
        <v>780.48780487804868</v>
      </c>
      <c r="E41" s="46">
        <f>MIN(B41*C41*'11_Plants'!$F$17*'02_Inputs_Base'!$I$14*'02_Inputs_Base'!$L$33,'02_Inputs_Base'!$L$31)</f>
        <v>585.36585365853648</v>
      </c>
      <c r="F41" s="46">
        <f>MIN(B41*C41*'11_Plants'!$G$17*'02_Inputs_Base'!$I$14*'02_Inputs_Base'!$L$33,'02_Inputs_Base'!$L$31)</f>
        <v>650.40650406504051</v>
      </c>
      <c r="G41" s="32">
        <f>'12_PlantSRMC'!$D$45</f>
        <v>1600</v>
      </c>
      <c r="H41" s="46">
        <f t="shared" si="2"/>
        <v>1664.0262548780488</v>
      </c>
      <c r="I41" s="46">
        <f t="shared" si="2"/>
        <v>2045.4456686585365</v>
      </c>
      <c r="J41" s="46">
        <f t="shared" si="2"/>
        <v>1602.4043490650406</v>
      </c>
      <c r="K41" s="4" t="str">
        <f>'11_Plants'!$J$17</f>
        <v>Peaking/flex resource</v>
      </c>
    </row>
    <row r="42" spans="1:11" ht="15" customHeight="1" x14ac:dyDescent="0.15">
      <c r="A42" s="4" t="s">
        <v>318</v>
      </c>
      <c r="B42" s="26">
        <f>'11_Plants'!$C$21</f>
        <v>341</v>
      </c>
      <c r="C42" s="33">
        <f>'11_Plants'!$D$21</f>
        <v>0.95</v>
      </c>
      <c r="D42" s="46">
        <f>B42*C42*'11_Plants'!$E$21*1*1</f>
        <v>16.197500000000002</v>
      </c>
      <c r="E42" s="46">
        <f>B42*C42*'11_Plants'!$F$21*1*1</f>
        <v>32.395000000000003</v>
      </c>
      <c r="F42" s="46">
        <f>B42*C42*'11_Plants'!$G$21*1*1</f>
        <v>80.987499999999997</v>
      </c>
      <c r="G42" s="32">
        <f>'12_PlantSRMC'!$D$46</f>
        <v>3200</v>
      </c>
      <c r="H42" s="46">
        <f t="shared" si="2"/>
        <v>1680.2237548780488</v>
      </c>
      <c r="I42" s="46">
        <f t="shared" si="2"/>
        <v>2077.8406686585367</v>
      </c>
      <c r="J42" s="46">
        <f t="shared" si="2"/>
        <v>1683.3918490650406</v>
      </c>
      <c r="K42" s="4" t="str">
        <f>'11_Plants'!$J$21</f>
        <v>Short-duration flexibility</v>
      </c>
    </row>
    <row r="43" spans="1:11" ht="15" customHeight="1" x14ac:dyDescent="0.15">
      <c r="A43" s="4" t="s">
        <v>277</v>
      </c>
      <c r="B43" s="26">
        <f>'11_Plants'!$C$18</f>
        <v>8589</v>
      </c>
      <c r="C43" s="33">
        <f>'11_Plants'!$D$18</f>
        <v>0.92</v>
      </c>
      <c r="D43" s="46">
        <f>B43*C43*'11_Plants'!$E$18*1*1</f>
        <v>7901.88</v>
      </c>
      <c r="E43" s="46">
        <f>B43*C43*'11_Plants'!$F$18*1*1</f>
        <v>7901.88</v>
      </c>
      <c r="F43" s="46">
        <f>B43*C43*'11_Plants'!$G$18*1*1</f>
        <v>7901.88</v>
      </c>
      <c r="G43" s="32">
        <f>'12_PlantSRMC'!$D$47</f>
        <v>3790.0462940670682</v>
      </c>
      <c r="H43" s="46">
        <f t="shared" si="2"/>
        <v>9582.1037548780496</v>
      </c>
      <c r="I43" s="46">
        <f t="shared" si="2"/>
        <v>9979.7206686585378</v>
      </c>
      <c r="J43" s="46">
        <f t="shared" si="2"/>
        <v>9585.2718490650404</v>
      </c>
      <c r="K43" s="4" t="str">
        <f>'11_Plants'!$J$18</f>
        <v>Backbone baseload</v>
      </c>
    </row>
    <row r="44" spans="1:11" ht="15" customHeight="1" x14ac:dyDescent="0.15">
      <c r="A44" s="4" t="s">
        <v>315</v>
      </c>
      <c r="B44" s="26">
        <f>'11_Plants'!$C$19</f>
        <v>3281</v>
      </c>
      <c r="C44" s="33">
        <f>'11_Plants'!$D$19</f>
        <v>0.88</v>
      </c>
      <c r="D44" s="46">
        <f>B44*C44*'11_Plants'!$E$19*1*'03_Scenarios'!$D16</f>
        <v>2800.6615999999999</v>
      </c>
      <c r="E44" s="46">
        <f>B44*C44*'11_Plants'!$F$19*1*'03_Scenarios'!$D16</f>
        <v>2800.6615999999999</v>
      </c>
      <c r="F44" s="46">
        <f>B44*C44*'11_Plants'!$G$19*1*'03_Scenarios'!$D16</f>
        <v>2800.6615999999999</v>
      </c>
      <c r="G44" s="32">
        <f>'12_PlantSRMC'!$D$48</f>
        <v>5740.1013481748842</v>
      </c>
      <c r="H44" s="46">
        <f t="shared" si="2"/>
        <v>12382.765354878049</v>
      </c>
      <c r="I44" s="46">
        <f t="shared" si="2"/>
        <v>12780.382268658537</v>
      </c>
      <c r="J44" s="46">
        <f t="shared" si="2"/>
        <v>12385.93344906504</v>
      </c>
      <c r="K44" s="4" t="str">
        <f>'11_Plants'!$J$19</f>
        <v>Fuel-constrained thermal; derated by LNG availability assumption</v>
      </c>
    </row>
    <row r="45" spans="1:11" ht="15" customHeight="1" x14ac:dyDescent="0.15">
      <c r="A45" s="4" t="s">
        <v>284</v>
      </c>
      <c r="B45" s="26">
        <f>'11_Plants'!$C$20</f>
        <v>1648</v>
      </c>
      <c r="C45" s="33">
        <f>'11_Plants'!$D$20</f>
        <v>0.95</v>
      </c>
      <c r="D45" s="46">
        <f>B45*C45*'11_Plants'!$E$20*1*1</f>
        <v>1565.6</v>
      </c>
      <c r="E45" s="46">
        <f>B45*C45*'11_Plants'!$F$20*1*1</f>
        <v>1565.6</v>
      </c>
      <c r="F45" s="46">
        <f>B45*C45*'11_Plants'!$G$20*1*1</f>
        <v>1565.6</v>
      </c>
      <c r="G45" s="32">
        <f>'12_PlantSRMC'!$D$49</f>
        <v>10959.889655172416</v>
      </c>
      <c r="H45" s="46">
        <f t="shared" si="2"/>
        <v>13948.365354878049</v>
      </c>
      <c r="I45" s="46">
        <f t="shared" si="2"/>
        <v>14345.982268658538</v>
      </c>
      <c r="J45" s="46">
        <f t="shared" si="2"/>
        <v>13951.53344906504</v>
      </c>
      <c r="K45" s="4" t="str">
        <f>'11_Plants'!$J$20</f>
        <v>Peaker / scarcity resource</v>
      </c>
    </row>
    <row r="46" spans="1:11" ht="13" x14ac:dyDescent="0.15"/>
    <row r="47" spans="1:11" ht="13" x14ac:dyDescent="0.15"/>
    <row r="48" spans="1:11" ht="15" customHeight="1" x14ac:dyDescent="0.15">
      <c r="A48" s="58" t="s">
        <v>398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</row>
    <row r="49" spans="1:11" ht="15" customHeight="1" x14ac:dyDescent="0.15">
      <c r="A49" s="3" t="s">
        <v>266</v>
      </c>
      <c r="B49" s="3" t="s">
        <v>387</v>
      </c>
      <c r="C49" s="3" t="s">
        <v>388</v>
      </c>
      <c r="D49" s="3" t="s">
        <v>389</v>
      </c>
      <c r="E49" s="3" t="s">
        <v>390</v>
      </c>
      <c r="F49" s="3" t="s">
        <v>391</v>
      </c>
      <c r="G49" s="3" t="s">
        <v>392</v>
      </c>
      <c r="H49" s="3" t="s">
        <v>393</v>
      </c>
      <c r="I49" s="3" t="s">
        <v>394</v>
      </c>
      <c r="J49" s="3" t="s">
        <v>395</v>
      </c>
      <c r="K49" s="3" t="s">
        <v>396</v>
      </c>
    </row>
    <row r="50" spans="1:11" ht="15" customHeight="1" x14ac:dyDescent="0.15">
      <c r="A50" s="4" t="s">
        <v>297</v>
      </c>
      <c r="B50" s="26">
        <f>'11_Plants'!$C$13</f>
        <v>1674</v>
      </c>
      <c r="C50" s="33">
        <f>'11_Plants'!$D$13</f>
        <v>0.98</v>
      </c>
      <c r="D50" s="46">
        <f>B50*C50*'11_Plants'!$E$13*'02_Inputs_Base'!$I$12*1</f>
        <v>0</v>
      </c>
      <c r="E50" s="46">
        <f>B50*C50*'11_Plants'!$F$13*'02_Inputs_Base'!$I$12*1</f>
        <v>585.66563999999994</v>
      </c>
      <c r="F50" s="46">
        <f>B50*C50*'11_Plants'!$G$13*'02_Inputs_Base'!$I$12*1</f>
        <v>83.666520000000006</v>
      </c>
      <c r="G50" s="32">
        <f>'12_PlantSRMC'!$E$41</f>
        <v>0</v>
      </c>
      <c r="H50" s="46">
        <f>D50</f>
        <v>0</v>
      </c>
      <c r="I50" s="46">
        <f>E50</f>
        <v>585.66563999999994</v>
      </c>
      <c r="J50" s="46">
        <f>F50</f>
        <v>83.666520000000006</v>
      </c>
      <c r="K50" s="4" t="str">
        <f>'11_Plants'!$J$13</f>
        <v>Daylight-driven profile</v>
      </c>
    </row>
    <row r="51" spans="1:11" ht="15" customHeight="1" x14ac:dyDescent="0.15">
      <c r="A51" s="4" t="s">
        <v>302</v>
      </c>
      <c r="B51" s="26">
        <f>'11_Plants'!$C$14</f>
        <v>337</v>
      </c>
      <c r="C51" s="33">
        <f>'11_Plants'!$D$14</f>
        <v>0.95</v>
      </c>
      <c r="D51" s="46">
        <f>B51*C51*'11_Plants'!$E$14*'02_Inputs_Base'!$I$13*1</f>
        <v>103.40844999999999</v>
      </c>
      <c r="E51" s="46">
        <f>B51*C51*'11_Plants'!$F$14*'02_Inputs_Base'!$I$13*1</f>
        <v>94.284174999999991</v>
      </c>
      <c r="F51" s="46">
        <f>B51*C51*'11_Plants'!$G$14*'02_Inputs_Base'!$I$13*1</f>
        <v>88.201324999999983</v>
      </c>
      <c r="G51" s="32">
        <f>'12_PlantSRMC'!$E$42</f>
        <v>0</v>
      </c>
      <c r="H51" s="46">
        <f t="shared" ref="H51:J58" si="3">H50+D51</f>
        <v>103.40844999999999</v>
      </c>
      <c r="I51" s="46">
        <f t="shared" si="3"/>
        <v>679.94981499999994</v>
      </c>
      <c r="J51" s="46">
        <f t="shared" si="3"/>
        <v>171.86784499999999</v>
      </c>
      <c r="K51" s="4" t="str">
        <f>'11_Plants'!$J$14</f>
        <v>Variable RE</v>
      </c>
    </row>
    <row r="52" spans="1:11" ht="15" customHeight="1" x14ac:dyDescent="0.15">
      <c r="A52" s="4" t="s">
        <v>303</v>
      </c>
      <c r="B52" s="26">
        <f>'11_Plants'!$C$15</f>
        <v>714</v>
      </c>
      <c r="C52" s="33">
        <f>'11_Plants'!$D$15</f>
        <v>0.92</v>
      </c>
      <c r="D52" s="46">
        <f>B52*C52*'11_Plants'!$E$15*1*1</f>
        <v>656.88</v>
      </c>
      <c r="E52" s="46">
        <f>B52*C52*'11_Plants'!$F$15*1*1</f>
        <v>656.88</v>
      </c>
      <c r="F52" s="46">
        <f>B52*C52*'11_Plants'!$G$15*1*1</f>
        <v>656.88</v>
      </c>
      <c r="G52" s="32">
        <f>'12_PlantSRMC'!$E$43</f>
        <v>700</v>
      </c>
      <c r="H52" s="46">
        <f t="shared" si="3"/>
        <v>760.28845000000001</v>
      </c>
      <c r="I52" s="46">
        <f t="shared" si="3"/>
        <v>1336.8298150000001</v>
      </c>
      <c r="J52" s="46">
        <f t="shared" si="3"/>
        <v>828.74784499999998</v>
      </c>
      <c r="K52" s="4" t="str">
        <f>'11_Plants'!$J$15</f>
        <v>Baseload renewable</v>
      </c>
    </row>
    <row r="53" spans="1:11" ht="15" customHeight="1" x14ac:dyDescent="0.15">
      <c r="A53" s="4" t="s">
        <v>307</v>
      </c>
      <c r="B53" s="26">
        <f>'11_Plants'!$C$16</f>
        <v>145</v>
      </c>
      <c r="C53" s="33">
        <f>'11_Plants'!$D$16</f>
        <v>0.85</v>
      </c>
      <c r="D53" s="46">
        <f>B53*C53*'11_Plants'!$E$16*1*1</f>
        <v>123.25</v>
      </c>
      <c r="E53" s="46">
        <f>B53*C53*'11_Plants'!$F$16*1*1</f>
        <v>123.25</v>
      </c>
      <c r="F53" s="46">
        <f>B53*C53*'11_Plants'!$G$16*1*1</f>
        <v>123.25</v>
      </c>
      <c r="G53" s="32">
        <f>'12_PlantSRMC'!$E$44</f>
        <v>1300</v>
      </c>
      <c r="H53" s="46">
        <f t="shared" si="3"/>
        <v>883.53845000000001</v>
      </c>
      <c r="I53" s="46">
        <f t="shared" si="3"/>
        <v>1460.0798150000001</v>
      </c>
      <c r="J53" s="46">
        <f t="shared" si="3"/>
        <v>951.99784499999998</v>
      </c>
      <c r="K53" s="4" t="str">
        <f>'11_Plants'!$J$16</f>
        <v>Stable renewable / thermal</v>
      </c>
    </row>
    <row r="54" spans="1:11" ht="15" customHeight="1" x14ac:dyDescent="0.15">
      <c r="A54" s="4" t="s">
        <v>310</v>
      </c>
      <c r="B54" s="26">
        <f>'11_Plants'!$C$17</f>
        <v>2382</v>
      </c>
      <c r="C54" s="33">
        <f>'11_Plants'!$D$17</f>
        <v>0.93</v>
      </c>
      <c r="D54" s="46">
        <f>MIN(B54*C54*'11_Plants'!$E$17*'02_Inputs_Base'!$I$14*'02_Inputs_Base'!$L$33,'02_Inputs_Base'!$L$31)</f>
        <v>780.48780487804868</v>
      </c>
      <c r="E54" s="46">
        <f>MIN(B54*C54*'11_Plants'!$F$17*'02_Inputs_Base'!$I$14*'02_Inputs_Base'!$L$33,'02_Inputs_Base'!$L$31)</f>
        <v>585.36585365853648</v>
      </c>
      <c r="F54" s="46">
        <f>MIN(B54*C54*'11_Plants'!$G$17*'02_Inputs_Base'!$I$14*'02_Inputs_Base'!$L$33,'02_Inputs_Base'!$L$31)</f>
        <v>650.40650406504051</v>
      </c>
      <c r="G54" s="32">
        <f>'12_PlantSRMC'!$E$45</f>
        <v>1900</v>
      </c>
      <c r="H54" s="46">
        <f t="shared" si="3"/>
        <v>1664.0262548780488</v>
      </c>
      <c r="I54" s="46">
        <f t="shared" si="3"/>
        <v>2045.4456686585365</v>
      </c>
      <c r="J54" s="46">
        <f t="shared" si="3"/>
        <v>1602.4043490650406</v>
      </c>
      <c r="K54" s="4" t="str">
        <f>'11_Plants'!$J$17</f>
        <v>Peaking/flex resource</v>
      </c>
    </row>
    <row r="55" spans="1:11" ht="15" customHeight="1" x14ac:dyDescent="0.15">
      <c r="A55" s="4" t="s">
        <v>318</v>
      </c>
      <c r="B55" s="26">
        <f>'11_Plants'!$C$21</f>
        <v>341</v>
      </c>
      <c r="C55" s="33">
        <f>'11_Plants'!$D$21</f>
        <v>0.95</v>
      </c>
      <c r="D55" s="46">
        <f>B55*C55*'11_Plants'!$E$21*1*1</f>
        <v>16.197500000000002</v>
      </c>
      <c r="E55" s="46">
        <f>B55*C55*'11_Plants'!$F$21*1*1</f>
        <v>32.395000000000003</v>
      </c>
      <c r="F55" s="46">
        <f>B55*C55*'11_Plants'!$G$21*1*1</f>
        <v>80.987499999999997</v>
      </c>
      <c r="G55" s="32">
        <f>'12_PlantSRMC'!$E$46</f>
        <v>3500</v>
      </c>
      <c r="H55" s="46">
        <f t="shared" si="3"/>
        <v>1680.2237548780488</v>
      </c>
      <c r="I55" s="46">
        <f t="shared" si="3"/>
        <v>2077.8406686585367</v>
      </c>
      <c r="J55" s="46">
        <f t="shared" si="3"/>
        <v>1683.3918490650406</v>
      </c>
      <c r="K55" s="4" t="str">
        <f>'11_Plants'!$J$21</f>
        <v>Short-duration flexibility</v>
      </c>
    </row>
    <row r="56" spans="1:11" ht="15" customHeight="1" x14ac:dyDescent="0.15">
      <c r="A56" s="4" t="s">
        <v>277</v>
      </c>
      <c r="B56" s="26">
        <f>'11_Plants'!$C$18</f>
        <v>8589</v>
      </c>
      <c r="C56" s="33">
        <f>'11_Plants'!$D$18</f>
        <v>0.92</v>
      </c>
      <c r="D56" s="46">
        <f>B56*C56*'11_Plants'!$E$18*1*1</f>
        <v>7901.88</v>
      </c>
      <c r="E56" s="46">
        <f>B56*C56*'11_Plants'!$F$18*1*1</f>
        <v>7901.88</v>
      </c>
      <c r="F56" s="46">
        <f>B56*C56*'11_Plants'!$G$18*1*1</f>
        <v>7901.88</v>
      </c>
      <c r="G56" s="32">
        <f>'12_PlantSRMC'!$E$47</f>
        <v>4452.9419317856118</v>
      </c>
      <c r="H56" s="46">
        <f t="shared" si="3"/>
        <v>9582.1037548780496</v>
      </c>
      <c r="I56" s="46">
        <f t="shared" si="3"/>
        <v>9979.7206686585378</v>
      </c>
      <c r="J56" s="46">
        <f t="shared" si="3"/>
        <v>9585.2718490650404</v>
      </c>
      <c r="K56" s="4" t="str">
        <f>'11_Plants'!$J$18</f>
        <v>Backbone baseload</v>
      </c>
    </row>
    <row r="57" spans="1:11" ht="15" customHeight="1" x14ac:dyDescent="0.15">
      <c r="A57" s="4" t="s">
        <v>315</v>
      </c>
      <c r="B57" s="26">
        <f>'11_Plants'!$C$19</f>
        <v>3281</v>
      </c>
      <c r="C57" s="33">
        <f>'11_Plants'!$D$19</f>
        <v>0.88</v>
      </c>
      <c r="D57" s="46">
        <f>B57*C57*'11_Plants'!$E$19*1*'03_Scenarios'!$E16</f>
        <v>2454.1880000000001</v>
      </c>
      <c r="E57" s="46">
        <f>B57*C57*'11_Plants'!$F$19*1*'03_Scenarios'!$E16</f>
        <v>2454.1880000000001</v>
      </c>
      <c r="F57" s="46">
        <f>B57*C57*'11_Plants'!$G$19*1*'03_Scenarios'!$E16</f>
        <v>2454.1880000000001</v>
      </c>
      <c r="G57" s="32">
        <f>'12_PlantSRMC'!$E$48</f>
        <v>7983.6925622905346</v>
      </c>
      <c r="H57" s="46">
        <f t="shared" si="3"/>
        <v>12036.29175487805</v>
      </c>
      <c r="I57" s="46">
        <f t="shared" si="3"/>
        <v>12433.908668658538</v>
      </c>
      <c r="J57" s="46">
        <f t="shared" si="3"/>
        <v>12039.459849065041</v>
      </c>
      <c r="K57" s="4" t="str">
        <f>'11_Plants'!$J$19</f>
        <v>Fuel-constrained thermal; derated by LNG availability assumption</v>
      </c>
    </row>
    <row r="58" spans="1:11" ht="15" customHeight="1" x14ac:dyDescent="0.15">
      <c r="A58" s="4" t="s">
        <v>284</v>
      </c>
      <c r="B58" s="26">
        <f>'11_Plants'!$C$20</f>
        <v>1648</v>
      </c>
      <c r="C58" s="33">
        <f>'11_Plants'!$D$20</f>
        <v>0.95</v>
      </c>
      <c r="D58" s="46">
        <f>B58*C58*'11_Plants'!$E$20*1*1</f>
        <v>1565.6</v>
      </c>
      <c r="E58" s="46">
        <f>B58*C58*'11_Plants'!$F$20*1*1</f>
        <v>1565.6</v>
      </c>
      <c r="F58" s="46">
        <f>B58*C58*'11_Plants'!$G$20*1*1</f>
        <v>1565.6</v>
      </c>
      <c r="G58" s="32">
        <f>'12_PlantSRMC'!$E$49</f>
        <v>13012.163793103451</v>
      </c>
      <c r="H58" s="46">
        <f t="shared" si="3"/>
        <v>13601.89175487805</v>
      </c>
      <c r="I58" s="46">
        <f t="shared" si="3"/>
        <v>13999.508668658538</v>
      </c>
      <c r="J58" s="46">
        <f t="shared" si="3"/>
        <v>13605.059849065041</v>
      </c>
      <c r="K58" s="4" t="str">
        <f>'11_Plants'!$J$20</f>
        <v>Peaker / scarcity resource</v>
      </c>
    </row>
    <row r="59" spans="1:11" ht="13" x14ac:dyDescent="0.15"/>
    <row r="60" spans="1:11" ht="13" x14ac:dyDescent="0.15"/>
    <row r="61" spans="1:11" ht="15" customHeight="1" x14ac:dyDescent="0.15">
      <c r="A61" s="58" t="s">
        <v>399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</row>
    <row r="62" spans="1:11" ht="15" customHeight="1" x14ac:dyDescent="0.15">
      <c r="A62" s="3" t="s">
        <v>266</v>
      </c>
      <c r="B62" s="3" t="s">
        <v>387</v>
      </c>
      <c r="C62" s="3" t="s">
        <v>388</v>
      </c>
      <c r="D62" s="3" t="s">
        <v>389</v>
      </c>
      <c r="E62" s="3" t="s">
        <v>390</v>
      </c>
      <c r="F62" s="3" t="s">
        <v>391</v>
      </c>
      <c r="G62" s="3" t="s">
        <v>392</v>
      </c>
      <c r="H62" s="3" t="s">
        <v>393</v>
      </c>
      <c r="I62" s="3" t="s">
        <v>394</v>
      </c>
      <c r="J62" s="3" t="s">
        <v>395</v>
      </c>
      <c r="K62" s="3" t="s">
        <v>396</v>
      </c>
    </row>
    <row r="63" spans="1:11" ht="15" customHeight="1" x14ac:dyDescent="0.15">
      <c r="A63" s="4" t="s">
        <v>297</v>
      </c>
      <c r="B63" s="26">
        <f>'11_Plants'!$C$13</f>
        <v>1674</v>
      </c>
      <c r="C63" s="33">
        <f>'11_Plants'!$D$13</f>
        <v>0.98</v>
      </c>
      <c r="D63" s="46">
        <f>B63*C63*'11_Plants'!$E$13*'02_Inputs_Base'!$I$12*1</f>
        <v>0</v>
      </c>
      <c r="E63" s="46">
        <f>B63*C63*'11_Plants'!$F$13*'02_Inputs_Base'!$I$12*1</f>
        <v>585.66563999999994</v>
      </c>
      <c r="F63" s="46">
        <f>B63*C63*'11_Plants'!$G$13*'02_Inputs_Base'!$I$12*1</f>
        <v>83.666520000000006</v>
      </c>
      <c r="G63" s="32">
        <f>'12_PlantSRMC'!$F$41</f>
        <v>0</v>
      </c>
      <c r="H63" s="46">
        <f>D63</f>
        <v>0</v>
      </c>
      <c r="I63" s="46">
        <f>E63</f>
        <v>585.66563999999994</v>
      </c>
      <c r="J63" s="46">
        <f>F63</f>
        <v>83.666520000000006</v>
      </c>
      <c r="K63" s="4" t="str">
        <f>'11_Plants'!$J$13</f>
        <v>Daylight-driven profile</v>
      </c>
    </row>
    <row r="64" spans="1:11" ht="15" customHeight="1" x14ac:dyDescent="0.15">
      <c r="A64" s="4" t="s">
        <v>302</v>
      </c>
      <c r="B64" s="26">
        <f>'11_Plants'!$C$14</f>
        <v>337</v>
      </c>
      <c r="C64" s="33">
        <f>'11_Plants'!$D$14</f>
        <v>0.95</v>
      </c>
      <c r="D64" s="46">
        <f>B64*C64*'11_Plants'!$E$14*'02_Inputs_Base'!$I$13*1</f>
        <v>103.40844999999999</v>
      </c>
      <c r="E64" s="46">
        <f>B64*C64*'11_Plants'!$F$14*'02_Inputs_Base'!$I$13*1</f>
        <v>94.284174999999991</v>
      </c>
      <c r="F64" s="46">
        <f>B64*C64*'11_Plants'!$G$14*'02_Inputs_Base'!$I$13*1</f>
        <v>88.201324999999983</v>
      </c>
      <c r="G64" s="32">
        <f>'12_PlantSRMC'!$F$42</f>
        <v>0</v>
      </c>
      <c r="H64" s="46">
        <f t="shared" ref="H64:J71" si="4">H63+D64</f>
        <v>103.40844999999999</v>
      </c>
      <c r="I64" s="46">
        <f t="shared" si="4"/>
        <v>679.94981499999994</v>
      </c>
      <c r="J64" s="46">
        <f t="shared" si="4"/>
        <v>171.86784499999999</v>
      </c>
      <c r="K64" s="4" t="str">
        <f>'11_Plants'!$J$14</f>
        <v>Variable RE</v>
      </c>
    </row>
    <row r="65" spans="1:11" ht="15" customHeight="1" x14ac:dyDescent="0.15">
      <c r="A65" s="4" t="s">
        <v>303</v>
      </c>
      <c r="B65" s="26">
        <f>'11_Plants'!$C$15</f>
        <v>714</v>
      </c>
      <c r="C65" s="33">
        <f>'11_Plants'!$D$15</f>
        <v>0.92</v>
      </c>
      <c r="D65" s="46">
        <f>B65*C65*'11_Plants'!$E$15*1*1</f>
        <v>656.88</v>
      </c>
      <c r="E65" s="46">
        <f>B65*C65*'11_Plants'!$F$15*1*1</f>
        <v>656.88</v>
      </c>
      <c r="F65" s="46">
        <f>B65*C65*'11_Plants'!$G$15*1*1</f>
        <v>656.88</v>
      </c>
      <c r="G65" s="32">
        <f>'12_PlantSRMC'!$F$43</f>
        <v>800</v>
      </c>
      <c r="H65" s="46">
        <f t="shared" si="4"/>
        <v>760.28845000000001</v>
      </c>
      <c r="I65" s="46">
        <f t="shared" si="4"/>
        <v>1336.8298150000001</v>
      </c>
      <c r="J65" s="46">
        <f t="shared" si="4"/>
        <v>828.74784499999998</v>
      </c>
      <c r="K65" s="4" t="str">
        <f>'11_Plants'!$J$15</f>
        <v>Baseload renewable</v>
      </c>
    </row>
    <row r="66" spans="1:11" ht="15" customHeight="1" x14ac:dyDescent="0.15">
      <c r="A66" s="4" t="s">
        <v>307</v>
      </c>
      <c r="B66" s="26">
        <f>'11_Plants'!$C$16</f>
        <v>145</v>
      </c>
      <c r="C66" s="33">
        <f>'11_Plants'!$D$16</f>
        <v>0.85</v>
      </c>
      <c r="D66" s="46">
        <f>B66*C66*'11_Plants'!$E$16*1*1</f>
        <v>123.25</v>
      </c>
      <c r="E66" s="46">
        <f>B66*C66*'11_Plants'!$F$16*1*1</f>
        <v>123.25</v>
      </c>
      <c r="F66" s="46">
        <f>B66*C66*'11_Plants'!$G$16*1*1</f>
        <v>123.25</v>
      </c>
      <c r="G66" s="32">
        <f>'12_PlantSRMC'!$F$44</f>
        <v>1400</v>
      </c>
      <c r="H66" s="46">
        <f t="shared" si="4"/>
        <v>883.53845000000001</v>
      </c>
      <c r="I66" s="46">
        <f t="shared" si="4"/>
        <v>1460.0798150000001</v>
      </c>
      <c r="J66" s="46">
        <f t="shared" si="4"/>
        <v>951.99784499999998</v>
      </c>
      <c r="K66" s="4" t="str">
        <f>'11_Plants'!$J$16</f>
        <v>Stable renewable / thermal</v>
      </c>
    </row>
    <row r="67" spans="1:11" ht="15" customHeight="1" x14ac:dyDescent="0.15">
      <c r="A67" s="4" t="s">
        <v>310</v>
      </c>
      <c r="B67" s="26">
        <f>'11_Plants'!$C$17</f>
        <v>2382</v>
      </c>
      <c r="C67" s="33">
        <f>'11_Plants'!$D$17</f>
        <v>0.93</v>
      </c>
      <c r="D67" s="46">
        <f>MIN(B67*C67*'11_Plants'!$E$17*'02_Inputs_Base'!$I$14*'02_Inputs_Base'!$L$33,'02_Inputs_Base'!$L$31)</f>
        <v>780.48780487804868</v>
      </c>
      <c r="E67" s="46">
        <f>MIN(B67*C67*'11_Plants'!$F$17*'02_Inputs_Base'!$I$14*'02_Inputs_Base'!$L$33,'02_Inputs_Base'!$L$31)</f>
        <v>585.36585365853648</v>
      </c>
      <c r="F67" s="46">
        <f>MIN(B67*C67*'11_Plants'!$G$17*'02_Inputs_Base'!$I$14*'02_Inputs_Base'!$L$33,'02_Inputs_Base'!$L$31)</f>
        <v>650.40650406504051</v>
      </c>
      <c r="G67" s="32">
        <f>'12_PlantSRMC'!$F$45</f>
        <v>2300</v>
      </c>
      <c r="H67" s="46">
        <f t="shared" si="4"/>
        <v>1664.0262548780488</v>
      </c>
      <c r="I67" s="46">
        <f t="shared" si="4"/>
        <v>2045.4456686585365</v>
      </c>
      <c r="J67" s="46">
        <f t="shared" si="4"/>
        <v>1602.4043490650406</v>
      </c>
      <c r="K67" s="4" t="str">
        <f>'11_Plants'!$J$17</f>
        <v>Peaking/flex resource</v>
      </c>
    </row>
    <row r="68" spans="1:11" ht="15" customHeight="1" x14ac:dyDescent="0.15">
      <c r="A68" s="4" t="s">
        <v>318</v>
      </c>
      <c r="B68" s="26">
        <f>'11_Plants'!$C$21</f>
        <v>341</v>
      </c>
      <c r="C68" s="33">
        <f>'11_Plants'!$D$21</f>
        <v>0.95</v>
      </c>
      <c r="D68" s="46">
        <f>B68*C68*'11_Plants'!$E$21*1*1</f>
        <v>16.197500000000002</v>
      </c>
      <c r="E68" s="46">
        <f>B68*C68*'11_Plants'!$F$21*1*1</f>
        <v>32.395000000000003</v>
      </c>
      <c r="F68" s="46">
        <f>B68*C68*'11_Plants'!$G$21*1*1</f>
        <v>80.987499999999997</v>
      </c>
      <c r="G68" s="32">
        <f>'12_PlantSRMC'!$F$46</f>
        <v>4200</v>
      </c>
      <c r="H68" s="46">
        <f t="shared" si="4"/>
        <v>1680.2237548780488</v>
      </c>
      <c r="I68" s="46">
        <f t="shared" si="4"/>
        <v>2077.8406686585367</v>
      </c>
      <c r="J68" s="46">
        <f t="shared" si="4"/>
        <v>1683.3918490650406</v>
      </c>
      <c r="K68" s="4" t="str">
        <f>'11_Plants'!$J$21</f>
        <v>Short-duration flexibility</v>
      </c>
    </row>
    <row r="69" spans="1:11" ht="15" customHeight="1" x14ac:dyDescent="0.15">
      <c r="A69" s="4" t="s">
        <v>277</v>
      </c>
      <c r="B69" s="26">
        <f>'11_Plants'!$C$18</f>
        <v>8589</v>
      </c>
      <c r="C69" s="33">
        <f>'11_Plants'!$D$18</f>
        <v>0.92</v>
      </c>
      <c r="D69" s="46">
        <f>B69*C69*'11_Plants'!$E$18*1*1</f>
        <v>7901.88</v>
      </c>
      <c r="E69" s="46">
        <f>B69*C69*'11_Plants'!$F$18*1*1</f>
        <v>7901.88</v>
      </c>
      <c r="F69" s="46">
        <f>B69*C69*'11_Plants'!$G$18*1*1</f>
        <v>7901.88</v>
      </c>
      <c r="G69" s="32">
        <f>'12_PlantSRMC'!$F$47</f>
        <v>5527.6237317282894</v>
      </c>
      <c r="H69" s="46">
        <f t="shared" si="4"/>
        <v>9582.1037548780496</v>
      </c>
      <c r="I69" s="46">
        <f t="shared" si="4"/>
        <v>9979.7206686585378</v>
      </c>
      <c r="J69" s="46">
        <f t="shared" si="4"/>
        <v>9585.2718490650404</v>
      </c>
      <c r="K69" s="4" t="str">
        <f>'11_Plants'!$J$18</f>
        <v>Backbone baseload</v>
      </c>
    </row>
    <row r="70" spans="1:11" ht="15" customHeight="1" x14ac:dyDescent="0.15">
      <c r="A70" s="4" t="s">
        <v>315</v>
      </c>
      <c r="B70" s="26">
        <f>'11_Plants'!$C$19</f>
        <v>3281</v>
      </c>
      <c r="C70" s="33">
        <f>'11_Plants'!$D$19</f>
        <v>0.88</v>
      </c>
      <c r="D70" s="46">
        <f>B70*C70*'11_Plants'!$E$19*1*'03_Scenarios'!$F16</f>
        <v>2021.096</v>
      </c>
      <c r="E70" s="46">
        <f>B70*C70*'11_Plants'!$F$19*1*'03_Scenarios'!$F16</f>
        <v>2021.096</v>
      </c>
      <c r="F70" s="46">
        <f>B70*C70*'11_Plants'!$G$19*1*'03_Scenarios'!$F16</f>
        <v>2021.096</v>
      </c>
      <c r="G70" s="32">
        <f>'12_PlantSRMC'!$F$48</f>
        <v>13014.425357516569</v>
      </c>
      <c r="H70" s="46">
        <f t="shared" si="4"/>
        <v>11603.199754878049</v>
      </c>
      <c r="I70" s="46">
        <f t="shared" si="4"/>
        <v>12000.816668658537</v>
      </c>
      <c r="J70" s="46">
        <f t="shared" si="4"/>
        <v>11606.36784906504</v>
      </c>
      <c r="K70" s="4" t="str">
        <f>'11_Plants'!$J$19</f>
        <v>Fuel-constrained thermal; derated by LNG availability assumption</v>
      </c>
    </row>
    <row r="71" spans="1:11" ht="15" customHeight="1" x14ac:dyDescent="0.15">
      <c r="A71" s="4" t="s">
        <v>284</v>
      </c>
      <c r="B71" s="26">
        <f>'11_Plants'!$C$20</f>
        <v>1648</v>
      </c>
      <c r="C71" s="33">
        <f>'11_Plants'!$D$20</f>
        <v>0.95</v>
      </c>
      <c r="D71" s="46">
        <f>B71*C71*'11_Plants'!$E$20*1*1</f>
        <v>1565.6</v>
      </c>
      <c r="E71" s="46">
        <f>B71*C71*'11_Plants'!$F$20*1*1</f>
        <v>1565.6</v>
      </c>
      <c r="F71" s="46">
        <f>B71*C71*'11_Plants'!$G$20*1*1</f>
        <v>1565.6</v>
      </c>
      <c r="G71" s="32">
        <f>'12_PlantSRMC'!$F$49</f>
        <v>18378.500000000004</v>
      </c>
      <c r="H71" s="46">
        <f t="shared" si="4"/>
        <v>13168.799754878049</v>
      </c>
      <c r="I71" s="46">
        <f t="shared" si="4"/>
        <v>13566.416668658538</v>
      </c>
      <c r="J71" s="46">
        <f t="shared" si="4"/>
        <v>13171.96784906504</v>
      </c>
      <c r="K71" s="4" t="str">
        <f>'11_Plants'!$J$20</f>
        <v>Peaker / scarcity resource</v>
      </c>
    </row>
  </sheetData>
  <mergeCells count="6">
    <mergeCell ref="A61:K61"/>
    <mergeCell ref="A22:K22"/>
    <mergeCell ref="A35:K35"/>
    <mergeCell ref="A1:G1"/>
    <mergeCell ref="A48:K48"/>
    <mergeCell ref="A2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showGridLines="0" zoomScaleNormal="100" workbookViewId="0">
      <selection sqref="A1:G1"/>
    </sheetView>
  </sheetViews>
  <sheetFormatPr baseColWidth="10" defaultColWidth="8.6640625" defaultRowHeight="15" customHeight="1" x14ac:dyDescent="0.15"/>
  <cols>
    <col min="1" max="1" width="22" customWidth="1"/>
    <col min="2" max="6" width="16" customWidth="1"/>
    <col min="7" max="7" width="30" customWidth="1"/>
  </cols>
  <sheetData>
    <row r="1" spans="1:7" ht="21.75" customHeight="1" x14ac:dyDescent="0.15">
      <c r="A1" s="58" t="s">
        <v>400</v>
      </c>
      <c r="B1" s="59"/>
      <c r="C1" s="59"/>
      <c r="D1" s="59"/>
      <c r="E1" s="59"/>
      <c r="F1" s="59"/>
      <c r="G1" s="59"/>
    </row>
    <row r="2" spans="1:7" ht="13" x14ac:dyDescent="0.15"/>
    <row r="3" spans="1:7" ht="13" x14ac:dyDescent="0.15"/>
    <row r="4" spans="1:7" ht="19.5" customHeight="1" x14ac:dyDescent="0.15">
      <c r="A4" s="3" t="s">
        <v>220</v>
      </c>
      <c r="B4" s="3" t="s">
        <v>50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230</v>
      </c>
    </row>
    <row r="5" spans="1:7" ht="15" customHeight="1" x14ac:dyDescent="0.15">
      <c r="A5" s="30" t="s">
        <v>377</v>
      </c>
      <c r="B5" s="4" t="s">
        <v>152</v>
      </c>
      <c r="C5" s="32">
        <f>'13_MeritOrder_WESM'!C16</f>
        <v>4538.2780544973875</v>
      </c>
      <c r="D5" s="32">
        <f>'13_MeritOrder_WESM'!D16</f>
        <v>5446.3888065820056</v>
      </c>
      <c r="E5" s="32">
        <f>'13_MeritOrder_WESM'!E16</f>
        <v>8870.2828424746695</v>
      </c>
      <c r="F5" s="32">
        <f>'13_MeritOrder_WESM'!F16</f>
        <v>13638.819997639201</v>
      </c>
    </row>
    <row r="6" spans="1:7" ht="15" customHeight="1" x14ac:dyDescent="0.15">
      <c r="A6" s="30" t="s">
        <v>401</v>
      </c>
      <c r="B6" s="4" t="s">
        <v>204</v>
      </c>
      <c r="C6" s="32">
        <f>'03_Scenarios'!C19</f>
        <v>0.25</v>
      </c>
      <c r="D6" s="32">
        <f>'03_Scenarios'!D19</f>
        <v>0.28000000000000003</v>
      </c>
      <c r="E6" s="32">
        <f>'03_Scenarios'!E19</f>
        <v>0.35</v>
      </c>
      <c r="F6" s="32">
        <f>'03_Scenarios'!F19</f>
        <v>0.45</v>
      </c>
    </row>
    <row r="7" spans="1:7" ht="15" customHeight="1" x14ac:dyDescent="0.15">
      <c r="A7" s="30" t="s">
        <v>402</v>
      </c>
      <c r="B7" s="4" t="s">
        <v>403</v>
      </c>
      <c r="C7" s="17">
        <f>C5*C6*C12</f>
        <v>1134.5695136243469</v>
      </c>
      <c r="D7" s="17">
        <f>D5*D6*D12</f>
        <v>1524.9888658429618</v>
      </c>
      <c r="E7" s="17">
        <f>E5*E6*E12</f>
        <v>3104.598994866134</v>
      </c>
      <c r="F7" s="17">
        <f>F5*F6*F12</f>
        <v>6137.4689989376402</v>
      </c>
    </row>
    <row r="8" spans="1:7" ht="15" customHeight="1" x14ac:dyDescent="0.15">
      <c r="A8" s="30" t="s">
        <v>404</v>
      </c>
      <c r="B8" s="4" t="s">
        <v>111</v>
      </c>
      <c r="C8" s="32">
        <f>'02_Inputs_Base'!$B$9</f>
        <v>50000</v>
      </c>
      <c r="D8" s="32">
        <f>'02_Inputs_Base'!$B$9</f>
        <v>50000</v>
      </c>
      <c r="E8" s="32">
        <f>'02_Inputs_Base'!$B$9</f>
        <v>50000</v>
      </c>
      <c r="F8" s="32">
        <f>'02_Inputs_Base'!$B$9</f>
        <v>50000</v>
      </c>
    </row>
    <row r="9" spans="1:7" ht="28.25" customHeight="1" x14ac:dyDescent="0.15">
      <c r="A9" s="30" t="s">
        <v>405</v>
      </c>
      <c r="B9" s="4" t="s">
        <v>406</v>
      </c>
      <c r="C9" s="45">
        <f>C7*C8/1000000</f>
        <v>56.72847568121734</v>
      </c>
      <c r="D9" s="45">
        <f>D7*D8/1000000</f>
        <v>76.249443292148086</v>
      </c>
      <c r="E9" s="45">
        <f>E7*E8/1000000</f>
        <v>155.22994974330669</v>
      </c>
      <c r="F9" s="45">
        <f>F7*F8/1000000</f>
        <v>306.87344994688203</v>
      </c>
      <c r="G9" s="16" t="s">
        <v>407</v>
      </c>
    </row>
    <row r="10" spans="1:7" ht="15" customHeight="1" x14ac:dyDescent="0.15">
      <c r="A10" t="s">
        <v>408</v>
      </c>
      <c r="B10" t="s">
        <v>106</v>
      </c>
      <c r="C10" s="23">
        <v>1458</v>
      </c>
      <c r="D10" s="23">
        <v>1458</v>
      </c>
      <c r="E10" s="23">
        <v>1458</v>
      </c>
      <c r="F10" s="23">
        <v>1458</v>
      </c>
      <c r="G10" s="4" t="s">
        <v>409</v>
      </c>
    </row>
    <row r="11" spans="1:7" ht="15" customHeight="1" x14ac:dyDescent="0.15">
      <c r="A11" t="s">
        <v>379</v>
      </c>
      <c r="B11" t="s">
        <v>106</v>
      </c>
      <c r="C11" s="32">
        <f>'13_MeritOrder_WESM'!C17</f>
        <v>1858.1518490650415</v>
      </c>
      <c r="D11" s="32">
        <f>'13_MeritOrder_WESM'!D17</f>
        <v>1771.5334490650403</v>
      </c>
      <c r="E11" s="32">
        <f>'13_MeritOrder_WESM'!E17</f>
        <v>1425.0598490650409</v>
      </c>
      <c r="F11" s="32">
        <f>'13_MeritOrder_WESM'!F17</f>
        <v>991.96784906504035</v>
      </c>
      <c r="G11" s="4" t="s">
        <v>410</v>
      </c>
    </row>
    <row r="12" spans="1:7" ht="15" customHeight="1" x14ac:dyDescent="0.15">
      <c r="A12" t="s">
        <v>411</v>
      </c>
      <c r="B12" t="s">
        <v>118</v>
      </c>
      <c r="C12" s="17">
        <f>MAX(1,1+MAX(0,-C11)/C10)</f>
        <v>1</v>
      </c>
      <c r="D12" s="17">
        <f>MAX(1,1+MAX(0,-D11)/D10)</f>
        <v>1</v>
      </c>
      <c r="E12" s="17">
        <f>MAX(1,1+MAX(0,-E11)/E10)</f>
        <v>1</v>
      </c>
      <c r="F12" s="17">
        <f>MAX(1,1+MAX(0,-F11)/F10)</f>
        <v>1</v>
      </c>
      <c r="G12" s="4" t="s">
        <v>412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showGridLines="0" zoomScaleNormal="100" workbookViewId="0">
      <selection activeCell="C11" sqref="C11"/>
    </sheetView>
  </sheetViews>
  <sheetFormatPr baseColWidth="10" defaultColWidth="8.6640625" defaultRowHeight="15" customHeight="1" x14ac:dyDescent="0.15"/>
  <cols>
    <col min="1" max="1" width="28" customWidth="1"/>
    <col min="2" max="6" width="16" customWidth="1"/>
    <col min="7" max="7" width="28" customWidth="1"/>
  </cols>
  <sheetData>
    <row r="1" spans="1:7" ht="21.75" customHeight="1" x14ac:dyDescent="0.15">
      <c r="A1" s="58" t="s">
        <v>413</v>
      </c>
      <c r="B1" s="59"/>
      <c r="C1" s="59"/>
      <c r="D1" s="59"/>
      <c r="E1" s="59"/>
      <c r="F1" s="59"/>
      <c r="G1" s="59"/>
    </row>
    <row r="2" spans="1:7" ht="13" x14ac:dyDescent="0.15"/>
    <row r="3" spans="1:7" ht="13" x14ac:dyDescent="0.15"/>
    <row r="4" spans="1:7" ht="19.5" customHeight="1" x14ac:dyDescent="0.15">
      <c r="A4" s="3" t="s">
        <v>220</v>
      </c>
      <c r="B4" s="3" t="s">
        <v>50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230</v>
      </c>
    </row>
    <row r="5" spans="1:7" ht="15" customHeight="1" x14ac:dyDescent="0.15">
      <c r="A5" s="30" t="s">
        <v>341</v>
      </c>
      <c r="B5" s="4" t="s">
        <v>93</v>
      </c>
      <c r="C5" s="26">
        <f>'12_PlantSRMC'!C31</f>
        <v>700000</v>
      </c>
      <c r="D5" s="26">
        <f>'12_PlantSRMC'!D31</f>
        <v>700000</v>
      </c>
      <c r="E5" s="26">
        <f>'12_PlantSRMC'!E31</f>
        <v>700000</v>
      </c>
      <c r="F5" s="26">
        <f>'12_PlantSRMC'!F31</f>
        <v>700000</v>
      </c>
    </row>
    <row r="6" spans="1:7" ht="15" customHeight="1" x14ac:dyDescent="0.15">
      <c r="A6" s="30" t="s">
        <v>342</v>
      </c>
      <c r="B6" s="4" t="s">
        <v>93</v>
      </c>
      <c r="C6" s="26">
        <f>'12_PlantSRMC'!C32</f>
        <v>250000</v>
      </c>
      <c r="D6" s="26">
        <f>'12_PlantSRMC'!D32</f>
        <v>242500</v>
      </c>
      <c r="E6" s="26">
        <f>'12_PlantSRMC'!E32</f>
        <v>212500</v>
      </c>
      <c r="F6" s="26">
        <f>'12_PlantSRMC'!F32</f>
        <v>175000</v>
      </c>
    </row>
    <row r="7" spans="1:7" ht="15" customHeight="1" x14ac:dyDescent="0.15">
      <c r="A7" s="30" t="s">
        <v>343</v>
      </c>
      <c r="B7" s="4" t="s">
        <v>93</v>
      </c>
      <c r="C7" s="26">
        <f>'12_PlantSRMC'!C33</f>
        <v>10000</v>
      </c>
      <c r="D7" s="26">
        <f>'12_PlantSRMC'!D33</f>
        <v>17500</v>
      </c>
      <c r="E7" s="26">
        <f>'12_PlantSRMC'!E33</f>
        <v>47500</v>
      </c>
      <c r="F7" s="26">
        <f>'12_PlantSRMC'!F33</f>
        <v>85000</v>
      </c>
    </row>
    <row r="8" spans="1:7" ht="13" x14ac:dyDescent="0.15"/>
    <row r="9" spans="1:7" ht="15" customHeight="1" x14ac:dyDescent="0.15">
      <c r="A9" s="30" t="s">
        <v>328</v>
      </c>
      <c r="B9" s="4" t="s">
        <v>152</v>
      </c>
      <c r="C9" s="32">
        <f>'12_PlantSRMC'!C12</f>
        <v>3445.0581501044098</v>
      </c>
      <c r="D9" s="32">
        <f>'12_PlantSRMC'!D12</f>
        <v>3790.0462940670682</v>
      </c>
      <c r="E9" s="32">
        <f>'12_PlantSRMC'!E12</f>
        <v>4452.9419317856118</v>
      </c>
      <c r="F9" s="32">
        <f>'12_PlantSRMC'!F12</f>
        <v>5527.6237317282894</v>
      </c>
    </row>
    <row r="10" spans="1:7" ht="15" customHeight="1" x14ac:dyDescent="0.15">
      <c r="A10" s="30" t="s">
        <v>335</v>
      </c>
      <c r="B10" s="4" t="s">
        <v>152</v>
      </c>
      <c r="C10" s="32">
        <f>'12_PlantSRMC'!C21</f>
        <v>4760.7252885154912</v>
      </c>
      <c r="D10" s="32">
        <f>'12_PlantSRMC'!D21</f>
        <v>5740.1013481748842</v>
      </c>
      <c r="E10" s="32">
        <f>'12_PlantSRMC'!E21</f>
        <v>7983.6925622905346</v>
      </c>
      <c r="F10" s="32">
        <f>'12_PlantSRMC'!F21</f>
        <v>13014.425357516569</v>
      </c>
    </row>
    <row r="11" spans="1:7" ht="15" customHeight="1" x14ac:dyDescent="0.15">
      <c r="A11" s="30" t="s">
        <v>339</v>
      </c>
      <c r="B11" s="4" t="s">
        <v>152</v>
      </c>
      <c r="C11" s="32">
        <f>'12_PlantSRMC'!C28</f>
        <v>9892.8436758620683</v>
      </c>
      <c r="D11" s="32">
        <f>'12_PlantSRMC'!D28</f>
        <v>10959.889655172416</v>
      </c>
      <c r="E11" s="32">
        <f>'12_PlantSRMC'!E28</f>
        <v>13012.163793103451</v>
      </c>
      <c r="F11" s="32">
        <f>'12_PlantSRMC'!F28</f>
        <v>18378.500000000004</v>
      </c>
    </row>
    <row r="12" spans="1:7" ht="13" x14ac:dyDescent="0.15"/>
    <row r="13" spans="1:7" ht="15" customHeight="1" x14ac:dyDescent="0.15">
      <c r="A13" s="30" t="s">
        <v>377</v>
      </c>
      <c r="B13" s="4" t="s">
        <v>152</v>
      </c>
      <c r="C13" s="32">
        <f>'13_MeritOrder_WESM'!C16</f>
        <v>4538.2780544973875</v>
      </c>
      <c r="D13" s="32">
        <f>'13_MeritOrder_WESM'!D16</f>
        <v>5446.3888065820056</v>
      </c>
      <c r="E13" s="32">
        <f>'13_MeritOrder_WESM'!E16</f>
        <v>8870.2828424746695</v>
      </c>
      <c r="F13" s="32">
        <f>'13_MeritOrder_WESM'!F16</f>
        <v>13638.819997639201</v>
      </c>
    </row>
    <row r="14" spans="1:7" ht="15" customHeight="1" x14ac:dyDescent="0.15">
      <c r="A14" s="30" t="s">
        <v>405</v>
      </c>
      <c r="B14" s="4" t="s">
        <v>406</v>
      </c>
      <c r="C14" s="32">
        <f>'14_ReservePricing'!C9</f>
        <v>56.72847568121734</v>
      </c>
      <c r="D14" s="32">
        <f>'14_ReservePricing'!D9</f>
        <v>76.249443292148086</v>
      </c>
      <c r="E14" s="32">
        <f>'14_ReservePricing'!E9</f>
        <v>155.22994974330669</v>
      </c>
      <c r="F14" s="32">
        <f>'14_ReservePricing'!F9</f>
        <v>306.87344994688203</v>
      </c>
    </row>
    <row r="15" spans="1:7" ht="13" x14ac:dyDescent="0.15"/>
    <row r="16" spans="1:7" ht="15" customHeight="1" x14ac:dyDescent="0.15">
      <c r="A16" s="30" t="s">
        <v>414</v>
      </c>
      <c r="B16" s="4" t="s">
        <v>406</v>
      </c>
      <c r="C16" s="17">
        <f>(C13-C9)*C5/1000000</f>
        <v>765.25393307508432</v>
      </c>
      <c r="D16" s="17">
        <f>(D13-D9)*D5/1000000</f>
        <v>1159.439758760456</v>
      </c>
      <c r="E16" s="17">
        <f>(E13-E9)*E5/1000000</f>
        <v>3092.1386374823405</v>
      </c>
      <c r="F16" s="17">
        <f>(F13-F9)*F5/1000000</f>
        <v>5677.8373861376385</v>
      </c>
    </row>
    <row r="17" spans="1:7" ht="15" customHeight="1" x14ac:dyDescent="0.15">
      <c r="A17" s="30" t="s">
        <v>415</v>
      </c>
      <c r="B17" s="4" t="s">
        <v>406</v>
      </c>
      <c r="C17" s="17">
        <f>(C13-C10)*C6/1000000</f>
        <v>-55.611808504525925</v>
      </c>
      <c r="D17" s="17">
        <f>(D13-D10)*D6/1000000</f>
        <v>-71.225291336273045</v>
      </c>
      <c r="E17" s="17">
        <f>(E13-E10)*E6/1000000</f>
        <v>188.40043453912867</v>
      </c>
      <c r="F17" s="17">
        <f>(F13-F10)*F6/1000000</f>
        <v>109.26906202146047</v>
      </c>
    </row>
    <row r="18" spans="1:7" ht="15" customHeight="1" x14ac:dyDescent="0.15">
      <c r="A18" s="30" t="s">
        <v>416</v>
      </c>
      <c r="B18" s="4" t="s">
        <v>406</v>
      </c>
      <c r="C18" s="17">
        <f>(C13-C11)*C7/1000000</f>
        <v>-53.545656213646808</v>
      </c>
      <c r="D18" s="17">
        <f>(D13-D11)*D7/1000000</f>
        <v>-96.486264850332176</v>
      </c>
      <c r="E18" s="17">
        <f>(E13-E11)*E7/1000000</f>
        <v>-196.73934515486715</v>
      </c>
      <c r="F18" s="17">
        <f>(F13-F11)*F7/1000000</f>
        <v>-402.87280020066828</v>
      </c>
    </row>
    <row r="19" spans="1:7" ht="15" customHeight="1" x14ac:dyDescent="0.15">
      <c r="A19" s="30" t="s">
        <v>417</v>
      </c>
      <c r="B19" s="4" t="s">
        <v>406</v>
      </c>
      <c r="C19" s="17">
        <f>SUM(C16:C18)</f>
        <v>656.0964683569116</v>
      </c>
      <c r="D19" s="17">
        <f>SUM(D16:D18)</f>
        <v>991.72820257385069</v>
      </c>
      <c r="E19" s="17">
        <f>SUM(E16:E18)</f>
        <v>3083.7997268666018</v>
      </c>
      <c r="F19" s="17">
        <f>SUM(F16:F18)</f>
        <v>5384.233647958431</v>
      </c>
    </row>
    <row r="20" spans="1:7" ht="28.25" customHeight="1" x14ac:dyDescent="0.15">
      <c r="A20" s="30" t="s">
        <v>418</v>
      </c>
      <c r="B20" s="4" t="s">
        <v>406</v>
      </c>
      <c r="C20" s="45">
        <f>C19+C14</f>
        <v>712.82494403812893</v>
      </c>
      <c r="D20" s="45">
        <f>D19+D14</f>
        <v>1067.9776458659987</v>
      </c>
      <c r="E20" s="45">
        <f>E19+E14</f>
        <v>3239.0296766099086</v>
      </c>
      <c r="F20" s="45">
        <f>F19+F14</f>
        <v>5691.1070979053129</v>
      </c>
      <c r="G20" s="16" t="s">
        <v>419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showGridLines="0" zoomScaleNormal="100" workbookViewId="0">
      <selection sqref="A1:E1"/>
    </sheetView>
  </sheetViews>
  <sheetFormatPr baseColWidth="10" defaultColWidth="8.6640625" defaultRowHeight="15" customHeight="1" x14ac:dyDescent="0.15"/>
  <cols>
    <col min="1" max="1" width="32" customWidth="1"/>
    <col min="2" max="3" width="16" customWidth="1"/>
    <col min="4" max="4" width="12" customWidth="1"/>
    <col min="5" max="5" width="58" customWidth="1"/>
  </cols>
  <sheetData>
    <row r="1" spans="1:5" ht="21.75" customHeight="1" x14ac:dyDescent="0.15">
      <c r="A1" s="58" t="s">
        <v>420</v>
      </c>
      <c r="B1" s="59"/>
      <c r="C1" s="59"/>
      <c r="D1" s="59"/>
      <c r="E1" s="59"/>
    </row>
    <row r="2" spans="1:5" ht="13" x14ac:dyDescent="0.15"/>
    <row r="3" spans="1:5" ht="19.5" customHeight="1" x14ac:dyDescent="0.15">
      <c r="A3" s="3" t="s">
        <v>81</v>
      </c>
      <c r="B3" s="3" t="s">
        <v>49</v>
      </c>
      <c r="C3" s="3" t="s">
        <v>50</v>
      </c>
      <c r="D3" s="3" t="s">
        <v>5</v>
      </c>
      <c r="E3" s="3" t="s">
        <v>82</v>
      </c>
    </row>
    <row r="4" spans="1:5" ht="15" customHeight="1" x14ac:dyDescent="0.15">
      <c r="A4" s="13" t="s">
        <v>421</v>
      </c>
      <c r="B4" s="23">
        <v>300000</v>
      </c>
      <c r="C4" s="4" t="s">
        <v>93</v>
      </c>
      <c r="D4" s="4" t="s">
        <v>81</v>
      </c>
      <c r="E4" s="16" t="s">
        <v>422</v>
      </c>
    </row>
    <row r="5" spans="1:5" ht="15" customHeight="1" x14ac:dyDescent="0.15">
      <c r="A5" s="13" t="s">
        <v>423</v>
      </c>
      <c r="B5" s="43">
        <v>5800</v>
      </c>
      <c r="C5" s="4" t="s">
        <v>152</v>
      </c>
      <c r="D5" s="4" t="s">
        <v>81</v>
      </c>
      <c r="E5" s="16" t="s">
        <v>424</v>
      </c>
    </row>
    <row r="6" spans="1:5" ht="15" customHeight="1" x14ac:dyDescent="0.15">
      <c r="A6" s="13" t="s">
        <v>425</v>
      </c>
      <c r="B6" s="23">
        <v>120000</v>
      </c>
      <c r="C6" s="4" t="s">
        <v>93</v>
      </c>
      <c r="D6" s="4" t="s">
        <v>81</v>
      </c>
      <c r="E6" s="16" t="s">
        <v>426</v>
      </c>
    </row>
    <row r="7" spans="1:5" ht="15" customHeight="1" x14ac:dyDescent="0.15">
      <c r="A7" s="13" t="s">
        <v>427</v>
      </c>
      <c r="B7" s="23">
        <v>30000</v>
      </c>
      <c r="C7" s="4" t="s">
        <v>93</v>
      </c>
      <c r="D7" s="4" t="s">
        <v>81</v>
      </c>
      <c r="E7" s="16" t="s">
        <v>428</v>
      </c>
    </row>
    <row r="8" spans="1:5" ht="15" customHeight="1" x14ac:dyDescent="0.15">
      <c r="A8" s="13" t="s">
        <v>429</v>
      </c>
      <c r="B8" s="43">
        <v>5900</v>
      </c>
      <c r="C8" s="4" t="s">
        <v>152</v>
      </c>
      <c r="D8" s="4" t="s">
        <v>81</v>
      </c>
      <c r="E8" s="16" t="s">
        <v>430</v>
      </c>
    </row>
    <row r="9" spans="1:5" ht="15" customHeight="1" x14ac:dyDescent="0.15">
      <c r="A9" s="13" t="s">
        <v>431</v>
      </c>
      <c r="B9" s="24">
        <v>0.3</v>
      </c>
      <c r="C9" s="4" t="s">
        <v>204</v>
      </c>
      <c r="D9" s="4" t="s">
        <v>81</v>
      </c>
      <c r="E9" s="16" t="s">
        <v>432</v>
      </c>
    </row>
    <row r="10" spans="1:5" ht="15" customHeight="1" x14ac:dyDescent="0.15">
      <c r="A10" s="13" t="s">
        <v>433</v>
      </c>
      <c r="B10" s="43">
        <v>50</v>
      </c>
      <c r="C10" s="4" t="s">
        <v>406</v>
      </c>
      <c r="D10" s="4" t="s">
        <v>81</v>
      </c>
      <c r="E10" s="16" t="s">
        <v>434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"/>
  <sheetViews>
    <sheetView showGridLines="0" zoomScaleNormal="100" workbookViewId="0">
      <selection activeCell="E12" sqref="E12"/>
    </sheetView>
  </sheetViews>
  <sheetFormatPr baseColWidth="10" defaultColWidth="8.6640625" defaultRowHeight="15" customHeight="1" x14ac:dyDescent="0.15"/>
  <cols>
    <col min="1" max="1" width="28" customWidth="1"/>
    <col min="2" max="2" width="18" customWidth="1"/>
    <col min="3" max="6" width="16" customWidth="1"/>
    <col min="7" max="7" width="28" customWidth="1"/>
  </cols>
  <sheetData>
    <row r="1" spans="1:7" ht="21.75" customHeight="1" x14ac:dyDescent="0.15">
      <c r="A1" s="58" t="s">
        <v>435</v>
      </c>
      <c r="B1" s="59"/>
      <c r="C1" s="59"/>
      <c r="D1" s="59"/>
      <c r="E1" s="59"/>
      <c r="F1" s="59"/>
      <c r="G1" s="59"/>
    </row>
    <row r="2" spans="1:7" ht="13" x14ac:dyDescent="0.15"/>
    <row r="3" spans="1:7" ht="13" x14ac:dyDescent="0.15"/>
    <row r="4" spans="1:7" ht="19.5" customHeight="1" x14ac:dyDescent="0.15">
      <c r="A4" s="3" t="s">
        <v>220</v>
      </c>
      <c r="B4" s="3" t="s">
        <v>50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230</v>
      </c>
    </row>
    <row r="5" spans="1:7" ht="15" customHeight="1" x14ac:dyDescent="0.15">
      <c r="A5" s="30" t="s">
        <v>377</v>
      </c>
      <c r="B5" s="4" t="s">
        <v>152</v>
      </c>
      <c r="C5" s="32">
        <f>'13_MeritOrder_WESM'!C16</f>
        <v>4538.2780544973875</v>
      </c>
      <c r="D5" s="32">
        <f>'13_MeritOrder_WESM'!D16</f>
        <v>5446.3888065820056</v>
      </c>
      <c r="E5" s="32">
        <f>'13_MeritOrder_WESM'!E16</f>
        <v>8870.2828424746695</v>
      </c>
      <c r="F5" s="32">
        <f>'13_MeritOrder_WESM'!F16</f>
        <v>13638.819997639201</v>
      </c>
    </row>
    <row r="6" spans="1:7" ht="15" customHeight="1" x14ac:dyDescent="0.15">
      <c r="A6" s="30" t="s">
        <v>345</v>
      </c>
      <c r="B6" s="4" t="s">
        <v>152</v>
      </c>
      <c r="C6" s="32">
        <f>'12_PlantSRMC'!C35</f>
        <v>3854.8442332922714</v>
      </c>
      <c r="D6" s="32">
        <f>'12_PlantSRMC'!D35</f>
        <v>4413.3385955675767</v>
      </c>
      <c r="E6" s="32">
        <f>'12_PlantSRMC'!E35</f>
        <v>5657.9914603219595</v>
      </c>
      <c r="F6" s="32">
        <f>'12_PlantSRMC'!F35</f>
        <v>8030.2432810158352</v>
      </c>
    </row>
    <row r="7" spans="1:7" ht="15" customHeight="1" x14ac:dyDescent="0.15">
      <c r="A7" s="30" t="s">
        <v>436</v>
      </c>
      <c r="B7" s="4" t="s">
        <v>406</v>
      </c>
      <c r="C7" s="17">
        <f>('20_SupplyWholesale_Contracts'!$B$5-C5)*'20_SupplyWholesale_Contracts'!$B$4/1000000</f>
        <v>378.51658365078373</v>
      </c>
      <c r="D7" s="17">
        <f>('20_SupplyWholesale_Contracts'!$B$5-D5)*'20_SupplyWholesale_Contracts'!$B$4/1000000</f>
        <v>106.08335802539831</v>
      </c>
      <c r="E7" s="17">
        <f>('20_SupplyWholesale_Contracts'!$B$5-E5)*'20_SupplyWholesale_Contracts'!$B$4/1000000</f>
        <v>-921.08485274240093</v>
      </c>
      <c r="F7" s="17">
        <f>('20_SupplyWholesale_Contracts'!$B$5-F5)*'20_SupplyWholesale_Contracts'!$B$4/1000000</f>
        <v>-2351.6459992917598</v>
      </c>
    </row>
    <row r="8" spans="1:7" ht="15" customHeight="1" x14ac:dyDescent="0.15">
      <c r="A8" s="30" t="s">
        <v>437</v>
      </c>
      <c r="B8" s="4" t="s">
        <v>406</v>
      </c>
      <c r="C8" s="17">
        <f>(C5-C6)*'20_SupplyWholesale_Contracts'!$B$6/1000000</f>
        <v>82.012058544613936</v>
      </c>
      <c r="D8" s="17">
        <f>(D5-D6)*'20_SupplyWholesale_Contracts'!$B$6/1000000</f>
        <v>123.96602532173146</v>
      </c>
      <c r="E8" s="17">
        <f>(E5-E6)*'20_SupplyWholesale_Contracts'!$B$6/1000000</f>
        <v>385.47496585832516</v>
      </c>
      <c r="F8" s="17">
        <f>(F5-F6)*'20_SupplyWholesale_Contracts'!$B$6/1000000</f>
        <v>673.02920599480387</v>
      </c>
    </row>
    <row r="9" spans="1:7" ht="15" customHeight="1" x14ac:dyDescent="0.15">
      <c r="A9" s="30" t="s">
        <v>438</v>
      </c>
      <c r="B9" s="4" t="s">
        <v>406</v>
      </c>
      <c r="C9" s="17">
        <f>-(C5-'20_SupplyWholesale_Contracts'!$B$8)*'20_SupplyWholesale_Contracts'!$B$7/1000000</f>
        <v>40.851658365078372</v>
      </c>
      <c r="D9" s="17">
        <f>-(D5-'20_SupplyWholesale_Contracts'!$B$8)*'20_SupplyWholesale_Contracts'!$B$7/1000000</f>
        <v>13.608335802539832</v>
      </c>
      <c r="E9" s="17">
        <f>-(E5-'20_SupplyWholesale_Contracts'!$B$8)*'20_SupplyWholesale_Contracts'!$B$7/1000000</f>
        <v>-89.108485274240081</v>
      </c>
      <c r="F9" s="17">
        <f>-(F5-'20_SupplyWholesale_Contracts'!$B$8)*'20_SupplyWholesale_Contracts'!$B$7/1000000</f>
        <v>-232.16459992917603</v>
      </c>
    </row>
    <row r="10" spans="1:7" ht="15" customHeight="1" x14ac:dyDescent="0.15">
      <c r="A10" s="30" t="s">
        <v>439</v>
      </c>
      <c r="B10" s="4" t="s">
        <v>406</v>
      </c>
      <c r="C10" s="17">
        <f>IF(C5&gt;$C$5,(C5-$C$5)*'20_SupplyWholesale_Contracts'!$B$9*'20_SupplyWholesale_Contracts'!$B$4/1000000,0)</f>
        <v>0</v>
      </c>
      <c r="D10" s="17">
        <f>IF(D5&gt;$C$5,(D5-$C$5)*'20_SupplyWholesale_Contracts'!$B$9*'20_SupplyWholesale_Contracts'!$B$4/1000000,0)</f>
        <v>81.729967687615627</v>
      </c>
      <c r="E10" s="17">
        <f>IF(E5&gt;$C$5,(E5-$C$5)*'20_SupplyWholesale_Contracts'!$B$9*'20_SupplyWholesale_Contracts'!$B$4/1000000,0)</f>
        <v>389.88043091795532</v>
      </c>
      <c r="F10" s="17">
        <f>IF(F5&gt;$C$5,(F5-$C$5)*'20_SupplyWholesale_Contracts'!$B$9*'20_SupplyWholesale_Contracts'!$B$4/1000000,0)</f>
        <v>819.04877488276304</v>
      </c>
    </row>
    <row r="11" spans="1:7" ht="15" customHeight="1" x14ac:dyDescent="0.15">
      <c r="A11" s="30" t="s">
        <v>440</v>
      </c>
      <c r="B11" s="4" t="s">
        <v>406</v>
      </c>
      <c r="C11" s="32">
        <f>'20_SupplyWholesale_Contracts'!$B$10</f>
        <v>50</v>
      </c>
      <c r="D11" s="32">
        <f>'20_SupplyWholesale_Contracts'!$B$10</f>
        <v>50</v>
      </c>
      <c r="E11" s="32">
        <f>'20_SupplyWholesale_Contracts'!$B$10</f>
        <v>50</v>
      </c>
      <c r="F11" s="32">
        <f>'20_SupplyWholesale_Contracts'!$B$10</f>
        <v>50</v>
      </c>
    </row>
    <row r="12" spans="1:7" ht="28.25" customHeight="1" x14ac:dyDescent="0.15">
      <c r="A12" s="30" t="s">
        <v>441</v>
      </c>
      <c r="B12" s="4" t="s">
        <v>406</v>
      </c>
      <c r="C12" s="45">
        <f>SUM(C7:C10)-C11</f>
        <v>451.38030056047603</v>
      </c>
      <c r="D12" s="45">
        <f>SUM(D7:D10)-D11</f>
        <v>275.38768683728523</v>
      </c>
      <c r="E12" s="45">
        <f>SUM(E7:E10)-E11</f>
        <v>-284.83794124036046</v>
      </c>
      <c r="F12" s="45">
        <f>SUM(F7:F10)-F11</f>
        <v>-1141.7326183433693</v>
      </c>
      <c r="G12" s="16" t="s">
        <v>442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showGridLines="0" zoomScaleNormal="100" workbookViewId="0"/>
  </sheetViews>
  <sheetFormatPr baseColWidth="10" defaultColWidth="8.6640625" defaultRowHeight="15" customHeight="1" x14ac:dyDescent="0.15"/>
  <cols>
    <col min="1" max="1" width="28" customWidth="1"/>
    <col min="2" max="4" width="13" customWidth="1"/>
    <col min="5" max="5" width="42" customWidth="1"/>
  </cols>
  <sheetData>
    <row r="1" spans="1:6" ht="21.75" customHeight="1" x14ac:dyDescent="0.15">
      <c r="A1" s="58" t="s">
        <v>443</v>
      </c>
      <c r="B1" s="59"/>
      <c r="C1" s="59"/>
      <c r="D1" s="59"/>
      <c r="E1" s="59"/>
      <c r="F1" s="59"/>
    </row>
    <row r="2" spans="1:6" ht="13" x14ac:dyDescent="0.15"/>
    <row r="3" spans="1:6" ht="13" x14ac:dyDescent="0.15"/>
    <row r="4" spans="1:6" ht="19.5" customHeight="1" x14ac:dyDescent="0.15">
      <c r="A4" s="3" t="s">
        <v>444</v>
      </c>
      <c r="B4" s="3" t="s">
        <v>445</v>
      </c>
      <c r="C4" s="3" t="s">
        <v>446</v>
      </c>
      <c r="D4" s="3" t="s">
        <v>447</v>
      </c>
      <c r="E4" s="3" t="s">
        <v>230</v>
      </c>
    </row>
    <row r="5" spans="1:6" ht="15" customHeight="1" x14ac:dyDescent="0.15">
      <c r="A5" s="30" t="s">
        <v>448</v>
      </c>
      <c r="B5" s="36">
        <f>'21_SupplyWholesale_Margin'!$C$12</f>
        <v>451.38030056047603</v>
      </c>
      <c r="C5" s="36">
        <f>'21_SupplyWholesale_Margin'!$C$12</f>
        <v>451.38030056047603</v>
      </c>
      <c r="D5" s="36">
        <f>'21_SupplyWholesale_Margin'!$C$12</f>
        <v>451.38030056047603</v>
      </c>
      <c r="E5" s="16" t="s">
        <v>449</v>
      </c>
    </row>
    <row r="6" spans="1:6" ht="15" customHeight="1" x14ac:dyDescent="0.15">
      <c r="A6" s="30" t="s">
        <v>450</v>
      </c>
      <c r="B6" s="36">
        <f>-( '21_SupplyWholesale_Margin'!D5-'21_SupplyWholesale_Margin'!$C$5 )*'20_SupplyWholesale_Contracts'!$B$4/1000000</f>
        <v>-272.43322562538538</v>
      </c>
      <c r="C6" s="36">
        <f>-( '21_SupplyWholesale_Margin'!E5-'21_SupplyWholesale_Margin'!$C$5 )*'20_SupplyWholesale_Contracts'!$B$4/1000000</f>
        <v>-1299.6014363931847</v>
      </c>
      <c r="D6" s="36">
        <f>-( '21_SupplyWholesale_Margin'!F5-'21_SupplyWholesale_Margin'!$C$5 )*'20_SupplyWholesale_Contracts'!$B$4/1000000</f>
        <v>-2730.1625829425434</v>
      </c>
      <c r="E6" s="16" t="s">
        <v>451</v>
      </c>
    </row>
    <row r="7" spans="1:6" ht="15" customHeight="1" x14ac:dyDescent="0.15">
      <c r="A7" s="30" t="s">
        <v>452</v>
      </c>
      <c r="B7" s="36">
        <f>( '21_SupplyWholesale_Margin'!D5-'21_SupplyWholesale_Margin'!$C$5 )*'20_SupplyWholesale_Contracts'!$B$6/1000000</f>
        <v>108.97329025015416</v>
      </c>
      <c r="C7" s="36">
        <f>( '21_SupplyWholesale_Margin'!E5-'21_SupplyWholesale_Margin'!$C$5 )*'20_SupplyWholesale_Contracts'!$B$6/1000000</f>
        <v>519.84057455727384</v>
      </c>
      <c r="D7" s="36">
        <f>( '21_SupplyWholesale_Margin'!F5-'21_SupplyWholesale_Margin'!$C$5 )*'20_SupplyWholesale_Contracts'!$B$6/1000000</f>
        <v>1092.0650331770175</v>
      </c>
      <c r="E7" s="16" t="s">
        <v>453</v>
      </c>
    </row>
    <row r="8" spans="1:6" ht="15" customHeight="1" x14ac:dyDescent="0.15">
      <c r="A8" s="30" t="s">
        <v>454</v>
      </c>
      <c r="B8" s="36">
        <f>-( '21_SupplyWholesale_Margin'!D6-'21_SupplyWholesale_Margin'!$C$6 )*'20_SupplyWholesale_Contracts'!$B$6/1000000</f>
        <v>-67.019323473036636</v>
      </c>
      <c r="C8" s="36">
        <f>-( '21_SupplyWholesale_Margin'!E6-'21_SupplyWholesale_Margin'!$C$6 )*'20_SupplyWholesale_Contracts'!$B$6/1000000</f>
        <v>-216.37766724356257</v>
      </c>
      <c r="D8" s="36">
        <f>-( '21_SupplyWholesale_Margin'!F6-'21_SupplyWholesale_Margin'!$C$6 )*'20_SupplyWholesale_Contracts'!$B$6/1000000</f>
        <v>-501.0478857268277</v>
      </c>
      <c r="E8" s="16" t="s">
        <v>455</v>
      </c>
    </row>
    <row r="9" spans="1:6" ht="15" customHeight="1" x14ac:dyDescent="0.15">
      <c r="A9" s="30" t="s">
        <v>456</v>
      </c>
      <c r="B9" s="36">
        <f>-( '21_SupplyWholesale_Margin'!D5-'21_SupplyWholesale_Margin'!$C$5 )*'20_SupplyWholesale_Contracts'!$B$7/1000000</f>
        <v>-27.243322562538541</v>
      </c>
      <c r="C9" s="36">
        <f>-( '21_SupplyWholesale_Margin'!E5-'21_SupplyWholesale_Margin'!$C$5 )*'20_SupplyWholesale_Contracts'!$B$7/1000000</f>
        <v>-129.96014363931846</v>
      </c>
      <c r="D9" s="36">
        <f>-( '21_SupplyWholesale_Margin'!F5-'21_SupplyWholesale_Margin'!$C$5 )*'20_SupplyWholesale_Contracts'!$B$7/1000000</f>
        <v>-273.01625829425438</v>
      </c>
      <c r="E9" s="16" t="s">
        <v>457</v>
      </c>
    </row>
    <row r="10" spans="1:6" ht="15" customHeight="1" x14ac:dyDescent="0.15">
      <c r="A10" s="30" t="s">
        <v>439</v>
      </c>
      <c r="B10" s="36">
        <f>'21_SupplyWholesale_Margin'!D10</f>
        <v>81.729967687615627</v>
      </c>
      <c r="C10" s="36">
        <f>'21_SupplyWholesale_Margin'!E10</f>
        <v>389.88043091795532</v>
      </c>
      <c r="D10" s="36">
        <f>'21_SupplyWholesale_Margin'!F10</f>
        <v>819.04877488276304</v>
      </c>
      <c r="E10" s="16" t="s">
        <v>458</v>
      </c>
    </row>
    <row r="11" spans="1:6" ht="15" customHeight="1" x14ac:dyDescent="0.15">
      <c r="A11" s="30" t="s">
        <v>459</v>
      </c>
      <c r="B11" s="36">
        <f>SUM(B5:B10)</f>
        <v>275.38768683728523</v>
      </c>
      <c r="C11" s="36">
        <f>SUM(C5:C10)</f>
        <v>-284.83794124036046</v>
      </c>
      <c r="D11" s="36">
        <f>SUM(D5:D10)</f>
        <v>-1141.7326183433688</v>
      </c>
      <c r="E11" s="16" t="s">
        <v>460</v>
      </c>
    </row>
    <row r="12" spans="1:6" ht="15" customHeight="1" x14ac:dyDescent="0.15">
      <c r="A12" s="30" t="s">
        <v>461</v>
      </c>
      <c r="B12" s="49">
        <f>'21_SupplyWholesale_Margin'!D12</f>
        <v>275.38768683728523</v>
      </c>
      <c r="C12" s="49">
        <f>'21_SupplyWholesale_Margin'!E12</f>
        <v>-284.83794124036046</v>
      </c>
      <c r="D12" s="49">
        <f>'21_SupplyWholesale_Margin'!F12</f>
        <v>-1141.7326183433693</v>
      </c>
      <c r="E12" s="16" t="s">
        <v>462</v>
      </c>
    </row>
    <row r="13" spans="1:6" ht="15" customHeight="1" x14ac:dyDescent="0.15">
      <c r="A13" s="30" t="s">
        <v>463</v>
      </c>
      <c r="B13" s="36">
        <f>B12-B11</f>
        <v>0</v>
      </c>
      <c r="C13" s="36">
        <f>C12-C11</f>
        <v>0</v>
      </c>
      <c r="D13" s="36">
        <f>D12-D11</f>
        <v>0</v>
      </c>
      <c r="E13" s="16" t="s">
        <v>464</v>
      </c>
    </row>
    <row r="14" spans="1:6" ht="15" customHeight="1" x14ac:dyDescent="0.15">
      <c r="A14" s="30" t="s">
        <v>465</v>
      </c>
      <c r="B14" s="6" t="str">
        <f>IF(AND(B13&lt;0.01,B13&gt;-0.01),"OK","FLAG")</f>
        <v>OK</v>
      </c>
      <c r="C14" s="6" t="str">
        <f>IF(AND(C13&lt;0.01,C13&gt;-0.01),"OK","FLAG")</f>
        <v>OK</v>
      </c>
      <c r="D14" s="6" t="str">
        <f>IF(AND(D13&lt;0.01,D13&gt;-0.01),"OK","FLAG")</f>
        <v>OK</v>
      </c>
      <c r="E14" s="16" t="s">
        <v>466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"/>
  <sheetViews>
    <sheetView showGridLines="0" zoomScaleNormal="100" workbookViewId="0"/>
  </sheetViews>
  <sheetFormatPr baseColWidth="10" defaultColWidth="8.6640625" defaultRowHeight="15" customHeight="1" x14ac:dyDescent="0.15"/>
  <cols>
    <col min="1" max="2" width="18" customWidth="1"/>
    <col min="3" max="3" width="20" customWidth="1"/>
    <col min="4" max="4" width="24" customWidth="1"/>
    <col min="5" max="5" width="14" customWidth="1"/>
    <col min="6" max="6" width="16" customWidth="1"/>
    <col min="7" max="9" width="14" customWidth="1"/>
    <col min="10" max="10" width="18" customWidth="1"/>
    <col min="11" max="11" width="34" customWidth="1"/>
  </cols>
  <sheetData>
    <row r="1" spans="1:11" ht="21.75" customHeight="1" x14ac:dyDescent="0.15">
      <c r="A1" s="58" t="s">
        <v>467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13" x14ac:dyDescent="0.15"/>
    <row r="3" spans="1:11" ht="19.5" customHeight="1" x14ac:dyDescent="0.15">
      <c r="A3" s="3" t="s">
        <v>468</v>
      </c>
      <c r="B3" s="3" t="s">
        <v>469</v>
      </c>
      <c r="C3" s="3" t="s">
        <v>470</v>
      </c>
      <c r="D3" s="3" t="s">
        <v>471</v>
      </c>
      <c r="E3" s="3" t="s">
        <v>472</v>
      </c>
      <c r="F3" s="3" t="s">
        <v>473</v>
      </c>
      <c r="G3" s="3" t="s">
        <v>474</v>
      </c>
      <c r="H3" s="3" t="s">
        <v>475</v>
      </c>
      <c r="I3" s="3" t="s">
        <v>476</v>
      </c>
      <c r="J3" s="3" t="s">
        <v>477</v>
      </c>
      <c r="K3" s="3" t="s">
        <v>82</v>
      </c>
    </row>
    <row r="4" spans="1:11" ht="13" x14ac:dyDescent="0.15"/>
    <row r="5" spans="1:11" ht="15" customHeight="1" x14ac:dyDescent="0.15">
      <c r="A5" s="4" t="s">
        <v>478</v>
      </c>
      <c r="B5" s="23">
        <v>250000</v>
      </c>
      <c r="C5" s="41">
        <v>7.2</v>
      </c>
      <c r="D5" s="29">
        <v>1</v>
      </c>
      <c r="E5" s="24">
        <v>0.2</v>
      </c>
      <c r="F5" s="24">
        <v>0.01</v>
      </c>
      <c r="G5" s="24">
        <v>0.01</v>
      </c>
      <c r="H5" s="24">
        <v>0.03</v>
      </c>
      <c r="I5" s="24">
        <v>0.06</v>
      </c>
      <c r="J5" s="40">
        <v>35</v>
      </c>
      <c r="K5" s="4" t="s">
        <v>479</v>
      </c>
    </row>
    <row r="6" spans="1:11" ht="15" customHeight="1" x14ac:dyDescent="0.15">
      <c r="A6" s="4" t="s">
        <v>480</v>
      </c>
      <c r="B6" s="23">
        <v>180000</v>
      </c>
      <c r="C6" s="41">
        <v>6.8</v>
      </c>
      <c r="D6" s="29">
        <v>0.95</v>
      </c>
      <c r="E6" s="24">
        <v>0.8</v>
      </c>
      <c r="F6" s="24">
        <v>7.0000000000000001E-3</v>
      </c>
      <c r="G6" s="24">
        <v>5.0000000000000001E-3</v>
      </c>
      <c r="H6" s="24">
        <v>1.4999999999999999E-2</v>
      </c>
      <c r="I6" s="24">
        <v>0.03</v>
      </c>
      <c r="J6" s="40">
        <v>20</v>
      </c>
      <c r="K6" s="4" t="s">
        <v>481</v>
      </c>
    </row>
    <row r="7" spans="1:11" ht="15" customHeight="1" x14ac:dyDescent="0.15">
      <c r="A7" s="4" t="s">
        <v>482</v>
      </c>
      <c r="B7" s="23">
        <v>120000</v>
      </c>
      <c r="C7" s="41">
        <v>6.2</v>
      </c>
      <c r="D7" s="29">
        <v>0.9</v>
      </c>
      <c r="E7" s="24">
        <v>0.3</v>
      </c>
      <c r="F7" s="24">
        <v>1.4999999999999999E-2</v>
      </c>
      <c r="G7" s="24">
        <v>5.0000000000000001E-3</v>
      </c>
      <c r="H7" s="24">
        <v>0.02</v>
      </c>
      <c r="I7" s="24">
        <v>0.04</v>
      </c>
      <c r="J7" s="40">
        <v>15</v>
      </c>
      <c r="K7" s="4" t="s">
        <v>483</v>
      </c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2"/>
  <sheetViews>
    <sheetView showGridLines="0" zoomScaleNormal="100" workbookViewId="0"/>
  </sheetViews>
  <sheetFormatPr baseColWidth="10" defaultColWidth="8.6640625" defaultRowHeight="15" customHeight="1" x14ac:dyDescent="0.15"/>
  <cols>
    <col min="1" max="1" width="28" customWidth="1"/>
    <col min="2" max="6" width="16" customWidth="1"/>
    <col min="7" max="7" width="28" customWidth="1"/>
  </cols>
  <sheetData>
    <row r="1" spans="1:7" ht="21.75" customHeight="1" x14ac:dyDescent="0.15">
      <c r="A1" s="58" t="s">
        <v>484</v>
      </c>
      <c r="B1" s="59"/>
      <c r="C1" s="59"/>
      <c r="D1" s="59"/>
      <c r="E1" s="59"/>
      <c r="F1" s="59"/>
      <c r="G1" s="59"/>
    </row>
    <row r="2" spans="1:7" ht="15" customHeight="1" x14ac:dyDescent="0.15">
      <c r="A2" s="72" t="s">
        <v>485</v>
      </c>
      <c r="B2" s="61"/>
      <c r="C2" s="61"/>
      <c r="D2" s="61"/>
      <c r="E2" s="61"/>
      <c r="F2" s="61"/>
      <c r="G2" s="62"/>
    </row>
    <row r="3" spans="1:7" ht="15" customHeight="1" x14ac:dyDescent="0.15">
      <c r="A3" s="63"/>
      <c r="B3" s="64"/>
      <c r="C3" s="64"/>
      <c r="D3" s="64"/>
      <c r="E3" s="64"/>
      <c r="F3" s="64"/>
      <c r="G3" s="65"/>
    </row>
    <row r="4" spans="1:7" ht="13" x14ac:dyDescent="0.15"/>
    <row r="5" spans="1:7" ht="19.5" customHeight="1" x14ac:dyDescent="0.15">
      <c r="A5" s="3" t="s">
        <v>220</v>
      </c>
      <c r="B5" s="3" t="s">
        <v>50</v>
      </c>
      <c r="C5" s="3" t="s">
        <v>167</v>
      </c>
      <c r="D5" s="3" t="s">
        <v>168</v>
      </c>
      <c r="E5" s="3" t="s">
        <v>169</v>
      </c>
      <c r="F5" s="3" t="s">
        <v>170</v>
      </c>
      <c r="G5" s="3" t="s">
        <v>230</v>
      </c>
    </row>
    <row r="6" spans="1:7" ht="15" customHeight="1" x14ac:dyDescent="0.15">
      <c r="A6" s="30" t="s">
        <v>486</v>
      </c>
      <c r="B6" s="4" t="s">
        <v>406</v>
      </c>
      <c r="C6" s="32">
        <f>C22</f>
        <v>612.43048637565312</v>
      </c>
      <c r="D6" s="32">
        <f>D22</f>
        <v>424.78726203574598</v>
      </c>
      <c r="E6" s="32">
        <f>E22</f>
        <v>-252.43653275370369</v>
      </c>
      <c r="F6" s="32">
        <f>F22</f>
        <v>-1147.9536592448067</v>
      </c>
    </row>
    <row r="7" spans="1:7" ht="15" customHeight="1" x14ac:dyDescent="0.15">
      <c r="A7" s="30" t="s">
        <v>487</v>
      </c>
      <c r="B7" s="4" t="s">
        <v>406</v>
      </c>
      <c r="C7" s="32">
        <f>C32</f>
        <v>419.38645268094672</v>
      </c>
      <c r="D7" s="32">
        <f>D32</f>
        <v>384.95263987184359</v>
      </c>
      <c r="E7" s="32">
        <f>E32</f>
        <v>260.8984702997202</v>
      </c>
      <c r="F7" s="32">
        <f>F32</f>
        <v>90.820982504178602</v>
      </c>
    </row>
    <row r="8" spans="1:7" ht="15" customHeight="1" x14ac:dyDescent="0.15">
      <c r="A8" s="30" t="s">
        <v>488</v>
      </c>
      <c r="B8" s="4" t="s">
        <v>406</v>
      </c>
      <c r="C8" s="32">
        <f>C42</f>
        <v>227.70597011428211</v>
      </c>
      <c r="D8" s="32">
        <f>D42</f>
        <v>157.16623139819671</v>
      </c>
      <c r="E8" s="32">
        <f>E42</f>
        <v>-102.11097434614472</v>
      </c>
      <c r="F8" s="32">
        <f>F42</f>
        <v>-451.21701425943905</v>
      </c>
    </row>
    <row r="9" spans="1:7" ht="15" customHeight="1" x14ac:dyDescent="0.15">
      <c r="A9" s="30" t="s">
        <v>489</v>
      </c>
      <c r="B9" s="4" t="s">
        <v>406</v>
      </c>
      <c r="C9" s="45">
        <f>SUM(C6:C8)</f>
        <v>1259.522909170882</v>
      </c>
      <c r="D9" s="45">
        <f>SUM(D6:D8)</f>
        <v>966.90613330578628</v>
      </c>
      <c r="E9" s="45">
        <f>SUM(E6:E8)</f>
        <v>-93.649036800128201</v>
      </c>
      <c r="F9" s="45">
        <f>SUM(F6:F8)</f>
        <v>-1508.3496910000672</v>
      </c>
      <c r="G9" s="16" t="s">
        <v>490</v>
      </c>
    </row>
    <row r="10" spans="1:7" ht="15" customHeight="1" x14ac:dyDescent="0.15">
      <c r="A10" s="30" t="s">
        <v>491</v>
      </c>
      <c r="B10" s="4" t="s">
        <v>406</v>
      </c>
      <c r="C10" s="17">
        <f>IF($C$6&gt;C6,$C$6-C6,0)</f>
        <v>0</v>
      </c>
      <c r="D10" s="17">
        <f>IF($C$6&gt;D6,$C$6-D6,0)</f>
        <v>187.64322433990714</v>
      </c>
      <c r="E10" s="17">
        <f>IF($C$6&gt;E6,$C$6-E6,0)</f>
        <v>864.86701912935678</v>
      </c>
      <c r="F10" s="17">
        <f>IF($C$6&gt;F6,$C$6-F6,0)</f>
        <v>1760.3841456204598</v>
      </c>
    </row>
    <row r="11" spans="1:7" ht="13" x14ac:dyDescent="0.15"/>
    <row r="12" spans="1:7" ht="13" x14ac:dyDescent="0.15"/>
    <row r="13" spans="1:7" ht="13" x14ac:dyDescent="0.15"/>
    <row r="14" spans="1:7" ht="15" customHeight="1" x14ac:dyDescent="0.15">
      <c r="A14" s="75" t="s">
        <v>492</v>
      </c>
      <c r="B14" s="70"/>
      <c r="C14" s="70"/>
      <c r="D14" s="70"/>
      <c r="E14" s="70"/>
      <c r="F14" s="70"/>
      <c r="G14" s="71"/>
    </row>
    <row r="15" spans="1:7" ht="15" customHeight="1" x14ac:dyDescent="0.15">
      <c r="A15" s="30" t="s">
        <v>493</v>
      </c>
      <c r="B15" s="4" t="s">
        <v>93</v>
      </c>
      <c r="C15" s="46">
        <f>'30_Retail_Inputs'!$B$5*(1-0)</f>
        <v>250000</v>
      </c>
      <c r="D15" s="46">
        <f>'30_Retail_Inputs'!$B$5*(1-'30_Retail_Inputs'!$G$5)</f>
        <v>247500</v>
      </c>
      <c r="E15" s="46">
        <f>'30_Retail_Inputs'!$B$5*(1-'30_Retail_Inputs'!$H$5)</f>
        <v>242500</v>
      </c>
      <c r="F15" s="46">
        <f>'30_Retail_Inputs'!$B$5*(1-'30_Retail_Inputs'!$I$5)</f>
        <v>235000</v>
      </c>
    </row>
    <row r="16" spans="1:7" ht="15" customHeight="1" x14ac:dyDescent="0.15">
      <c r="A16" s="30" t="s">
        <v>494</v>
      </c>
      <c r="B16" s="4" t="s">
        <v>152</v>
      </c>
      <c r="C16" s="17">
        <f>'13_MeritOrder_WESM'!C16*'30_Retail_Inputs'!$D$5</f>
        <v>4538.2780544973875</v>
      </c>
      <c r="D16" s="17">
        <f>'13_MeritOrder_WESM'!D16*'30_Retail_Inputs'!$D$5</f>
        <v>5446.3888065820056</v>
      </c>
      <c r="E16" s="17">
        <f>'13_MeritOrder_WESM'!E16*'30_Retail_Inputs'!$D$5</f>
        <v>8870.2828424746695</v>
      </c>
      <c r="F16" s="17">
        <f>'13_MeritOrder_WESM'!F16*'30_Retail_Inputs'!$D$5</f>
        <v>13638.819997639201</v>
      </c>
    </row>
    <row r="17" spans="1:7" ht="15" customHeight="1" x14ac:dyDescent="0.15">
      <c r="A17" s="30" t="s">
        <v>495</v>
      </c>
      <c r="B17" s="4" t="s">
        <v>496</v>
      </c>
      <c r="C17" s="17">
        <f>'30_Retail_Inputs'!$C$5+'30_Retail_Inputs'!$E$5*IF(C16&gt;$C$16,C16-$C$16,0)/1000</f>
        <v>7.2</v>
      </c>
      <c r="D17" s="17">
        <f>'30_Retail_Inputs'!$C$5+'30_Retail_Inputs'!$E$5*IF(D16&gt;$C$16,D16-$C$16,0)/1000</f>
        <v>7.3816221504169235</v>
      </c>
      <c r="E17" s="17">
        <f>'30_Retail_Inputs'!$C$5+'30_Retail_Inputs'!$E$5*IF(E16&gt;$C$16,E16-$C$16,0)/1000</f>
        <v>8.0664009575954569</v>
      </c>
      <c r="F17" s="17">
        <f>'30_Retail_Inputs'!$C$5+'30_Retail_Inputs'!$E$5*IF(F16&gt;$C$16,F16-$C$16,0)/1000</f>
        <v>9.020108388628362</v>
      </c>
    </row>
    <row r="18" spans="1:7" ht="15" customHeight="1" x14ac:dyDescent="0.15">
      <c r="A18" s="30" t="s">
        <v>497</v>
      </c>
      <c r="B18" s="4" t="s">
        <v>406</v>
      </c>
      <c r="C18" s="17">
        <f>C15*1000*C17/1000000</f>
        <v>1800</v>
      </c>
      <c r="D18" s="17">
        <f>D15*1000*D17/1000000</f>
        <v>1826.9514822281885</v>
      </c>
      <c r="E18" s="17">
        <f>E15*1000*E17/1000000</f>
        <v>1956.1022322168983</v>
      </c>
      <c r="F18" s="17">
        <f>F15*1000*F17/1000000</f>
        <v>2119.7254713276652</v>
      </c>
    </row>
    <row r="19" spans="1:7" ht="15" customHeight="1" x14ac:dyDescent="0.15">
      <c r="A19" s="30" t="s">
        <v>498</v>
      </c>
      <c r="B19" s="4" t="s">
        <v>406</v>
      </c>
      <c r="C19" s="17">
        <f>C15*C16/1000000</f>
        <v>1134.5695136243469</v>
      </c>
      <c r="D19" s="17">
        <f>D15*D16/1000000</f>
        <v>1347.9812296290465</v>
      </c>
      <c r="E19" s="17">
        <f>E15*E16/1000000</f>
        <v>2151.0435893001077</v>
      </c>
      <c r="F19" s="17">
        <f>F15*F16/1000000</f>
        <v>3205.1226994452122</v>
      </c>
    </row>
    <row r="20" spans="1:7" ht="15" customHeight="1" x14ac:dyDescent="0.15">
      <c r="A20" s="30" t="s">
        <v>499</v>
      </c>
      <c r="B20" s="4" t="s">
        <v>406</v>
      </c>
      <c r="C20" s="17">
        <f>C18*'30_Retail_Inputs'!$F$5*'03_Scenarios'!C20</f>
        <v>18</v>
      </c>
      <c r="D20" s="17">
        <f>D18*'30_Retail_Inputs'!$F$5*'03_Scenarios'!D20</f>
        <v>19.182990563395979</v>
      </c>
      <c r="E20" s="17">
        <f>E18*'30_Retail_Inputs'!$F$5*'03_Scenarios'!E20</f>
        <v>22.49517567049433</v>
      </c>
      <c r="F20" s="17">
        <f>F18*'30_Retail_Inputs'!$F$5*'03_Scenarios'!F20</f>
        <v>27.55643112725965</v>
      </c>
    </row>
    <row r="21" spans="1:7" ht="15" customHeight="1" x14ac:dyDescent="0.15">
      <c r="A21" s="30" t="s">
        <v>500</v>
      </c>
      <c r="B21" s="4" t="s">
        <v>406</v>
      </c>
      <c r="C21" s="32">
        <f>'30_Retail_Inputs'!$J$5</f>
        <v>35</v>
      </c>
      <c r="D21" s="32">
        <f>'30_Retail_Inputs'!$J$5</f>
        <v>35</v>
      </c>
      <c r="E21" s="32">
        <f>'30_Retail_Inputs'!$J$5</f>
        <v>35</v>
      </c>
      <c r="F21" s="32">
        <f>'30_Retail_Inputs'!$J$5</f>
        <v>35</v>
      </c>
    </row>
    <row r="22" spans="1:7" ht="15" customHeight="1" x14ac:dyDescent="0.15">
      <c r="A22" s="30" t="s">
        <v>501</v>
      </c>
      <c r="B22" s="4" t="s">
        <v>406</v>
      </c>
      <c r="C22" s="45">
        <f>C18-C19-C20-C21</f>
        <v>612.43048637565312</v>
      </c>
      <c r="D22" s="45">
        <f>D18-D19-D20-D21</f>
        <v>424.78726203574598</v>
      </c>
      <c r="E22" s="45">
        <f>E18-E19-E20-E21</f>
        <v>-252.43653275370369</v>
      </c>
      <c r="F22" s="45">
        <f>F18-F19-F20-F21</f>
        <v>-1147.9536592448067</v>
      </c>
    </row>
    <row r="23" spans="1:7" ht="13" x14ac:dyDescent="0.15"/>
    <row r="24" spans="1:7" ht="15" customHeight="1" x14ac:dyDescent="0.15">
      <c r="A24" s="75" t="s">
        <v>502</v>
      </c>
      <c r="B24" s="70"/>
      <c r="C24" s="70"/>
      <c r="D24" s="70"/>
      <c r="E24" s="70"/>
      <c r="F24" s="70"/>
      <c r="G24" s="71"/>
    </row>
    <row r="25" spans="1:7" ht="15" customHeight="1" x14ac:dyDescent="0.15">
      <c r="A25" s="30" t="s">
        <v>493</v>
      </c>
      <c r="B25" s="4" t="s">
        <v>93</v>
      </c>
      <c r="C25" s="46">
        <f>'30_Retail_Inputs'!$B$6*(1-0)</f>
        <v>180000</v>
      </c>
      <c r="D25" s="46">
        <f>'30_Retail_Inputs'!$B$6*(1-'30_Retail_Inputs'!$G$6)</f>
        <v>179100</v>
      </c>
      <c r="E25" s="46">
        <f>'30_Retail_Inputs'!$B$6*(1-'30_Retail_Inputs'!$H$6)</f>
        <v>177300</v>
      </c>
      <c r="F25" s="46">
        <f>'30_Retail_Inputs'!$B$6*(1-'30_Retail_Inputs'!$I$6)</f>
        <v>174600</v>
      </c>
    </row>
    <row r="26" spans="1:7" ht="15" customHeight="1" x14ac:dyDescent="0.15">
      <c r="A26" s="30" t="s">
        <v>494</v>
      </c>
      <c r="B26" s="4" t="s">
        <v>152</v>
      </c>
      <c r="C26" s="17">
        <f>'13_MeritOrder_WESM'!C16*'30_Retail_Inputs'!$D$6</f>
        <v>4311.3641517725182</v>
      </c>
      <c r="D26" s="17">
        <f>'13_MeritOrder_WESM'!D16*'30_Retail_Inputs'!$D$6</f>
        <v>5174.0693662529047</v>
      </c>
      <c r="E26" s="17">
        <f>'13_MeritOrder_WESM'!E16*'30_Retail_Inputs'!$D$6</f>
        <v>8426.7687003509363</v>
      </c>
      <c r="F26" s="17">
        <f>'13_MeritOrder_WESM'!F16*'30_Retail_Inputs'!$D$6</f>
        <v>12956.87899775724</v>
      </c>
    </row>
    <row r="27" spans="1:7" ht="15" customHeight="1" x14ac:dyDescent="0.15">
      <c r="A27" s="30" t="s">
        <v>495</v>
      </c>
      <c r="B27" s="4" t="s">
        <v>496</v>
      </c>
      <c r="C27" s="17">
        <f>'30_Retail_Inputs'!$C$6+'30_Retail_Inputs'!$E$6*IF(C26&gt;$C$26,C26-$C$26,0)/1000</f>
        <v>6.8</v>
      </c>
      <c r="D27" s="17">
        <f>'30_Retail_Inputs'!$C$6+'30_Retail_Inputs'!$E$6*IF(D26&gt;$C$26,D26-$C$26,0)/1000</f>
        <v>7.4901641715843095</v>
      </c>
      <c r="E27" s="17">
        <f>'30_Retail_Inputs'!$C$6+'30_Retail_Inputs'!$E$6*IF(E26&gt;$C$26,E26-$C$26,0)/1000</f>
        <v>10.092323638862734</v>
      </c>
      <c r="F27" s="17">
        <f>'30_Retail_Inputs'!$C$6+'30_Retail_Inputs'!$E$6*IF(F26&gt;$C$26,F26-$C$26,0)/1000</f>
        <v>13.716411876787777</v>
      </c>
    </row>
    <row r="28" spans="1:7" ht="15" customHeight="1" x14ac:dyDescent="0.15">
      <c r="A28" s="30" t="s">
        <v>497</v>
      </c>
      <c r="B28" s="4" t="s">
        <v>406</v>
      </c>
      <c r="C28" s="17">
        <f>C25*1000*C27/1000000</f>
        <v>1224</v>
      </c>
      <c r="D28" s="17">
        <f>D25*1000*D27/1000000</f>
        <v>1341.4884031307499</v>
      </c>
      <c r="E28" s="17">
        <f>E25*1000*E27/1000000</f>
        <v>1789.3689811703628</v>
      </c>
      <c r="F28" s="17">
        <f>F25*1000*F27/1000000</f>
        <v>2394.8855136871457</v>
      </c>
    </row>
    <row r="29" spans="1:7" ht="15" customHeight="1" x14ac:dyDescent="0.15">
      <c r="A29" s="30" t="s">
        <v>498</v>
      </c>
      <c r="B29" s="4" t="s">
        <v>406</v>
      </c>
      <c r="C29" s="17">
        <f>C25*C26/1000000</f>
        <v>776.0455473190533</v>
      </c>
      <c r="D29" s="17">
        <f>D25*D26/1000000</f>
        <v>926.67582349589532</v>
      </c>
      <c r="E29" s="17">
        <f>E25*E26/1000000</f>
        <v>1494.0660905722211</v>
      </c>
      <c r="F29" s="17">
        <f>F25*F26/1000000</f>
        <v>2262.2710730084141</v>
      </c>
    </row>
    <row r="30" spans="1:7" ht="15" customHeight="1" x14ac:dyDescent="0.15">
      <c r="A30" s="30" t="s">
        <v>499</v>
      </c>
      <c r="B30" s="4" t="s">
        <v>406</v>
      </c>
      <c r="C30" s="17">
        <f>C28*'30_Retail_Inputs'!$F$6*'03_Scenarios'!C20</f>
        <v>8.5679999999999996</v>
      </c>
      <c r="D30" s="17">
        <f>D28*'30_Retail_Inputs'!$F$6*'03_Scenarios'!D20</f>
        <v>9.8599397630110115</v>
      </c>
      <c r="E30" s="17">
        <f>E28*'30_Retail_Inputs'!$F$6*'03_Scenarios'!E20</f>
        <v>14.404420298421419</v>
      </c>
      <c r="F30" s="17">
        <f>F28*'30_Retail_Inputs'!$F$6*'03_Scenarios'!F20</f>
        <v>21.793458174553024</v>
      </c>
    </row>
    <row r="31" spans="1:7" ht="15" customHeight="1" x14ac:dyDescent="0.15">
      <c r="A31" s="30" t="s">
        <v>500</v>
      </c>
      <c r="B31" s="4" t="s">
        <v>406</v>
      </c>
      <c r="C31" s="32">
        <f>'30_Retail_Inputs'!$J$6</f>
        <v>20</v>
      </c>
      <c r="D31" s="32">
        <f>'30_Retail_Inputs'!$J$6</f>
        <v>20</v>
      </c>
      <c r="E31" s="32">
        <f>'30_Retail_Inputs'!$J$6</f>
        <v>20</v>
      </c>
      <c r="F31" s="32">
        <f>'30_Retail_Inputs'!$J$6</f>
        <v>20</v>
      </c>
    </row>
    <row r="32" spans="1:7" ht="15" customHeight="1" x14ac:dyDescent="0.15">
      <c r="A32" s="30" t="s">
        <v>501</v>
      </c>
      <c r="B32" s="4" t="s">
        <v>406</v>
      </c>
      <c r="C32" s="45">
        <f>C28-C29-C30-C31</f>
        <v>419.38645268094672</v>
      </c>
      <c r="D32" s="45">
        <f>D28-D29-D30-D31</f>
        <v>384.95263987184359</v>
      </c>
      <c r="E32" s="45">
        <f>E28-E29-E30-E31</f>
        <v>260.8984702997202</v>
      </c>
      <c r="F32" s="45">
        <f>F28-F29-F30-F31</f>
        <v>90.820982504178602</v>
      </c>
    </row>
    <row r="33" spans="1:7" ht="13" x14ac:dyDescent="0.15"/>
    <row r="34" spans="1:7" ht="15" customHeight="1" x14ac:dyDescent="0.15">
      <c r="A34" s="75" t="s">
        <v>503</v>
      </c>
      <c r="B34" s="70"/>
      <c r="C34" s="70"/>
      <c r="D34" s="70"/>
      <c r="E34" s="70"/>
      <c r="F34" s="70"/>
      <c r="G34" s="71"/>
    </row>
    <row r="35" spans="1:7" ht="15" customHeight="1" x14ac:dyDescent="0.15">
      <c r="A35" s="30" t="s">
        <v>493</v>
      </c>
      <c r="B35" s="4" t="s">
        <v>93</v>
      </c>
      <c r="C35" s="46">
        <f>'30_Retail_Inputs'!$B$7*(1-0)</f>
        <v>120000</v>
      </c>
      <c r="D35" s="46">
        <f>'30_Retail_Inputs'!$B$7*(1-'30_Retail_Inputs'!$G$7)</f>
        <v>119400</v>
      </c>
      <c r="E35" s="46">
        <f>'30_Retail_Inputs'!$B$7*(1-'30_Retail_Inputs'!$H$7)</f>
        <v>117600</v>
      </c>
      <c r="F35" s="46">
        <f>'30_Retail_Inputs'!$B$7*(1-'30_Retail_Inputs'!$I$7)</f>
        <v>115200</v>
      </c>
    </row>
    <row r="36" spans="1:7" ht="15" customHeight="1" x14ac:dyDescent="0.15">
      <c r="A36" s="30" t="s">
        <v>494</v>
      </c>
      <c r="B36" s="4" t="s">
        <v>152</v>
      </c>
      <c r="C36" s="17">
        <f>'13_MeritOrder_WESM'!C16*'30_Retail_Inputs'!$D$7</f>
        <v>4084.4502490476489</v>
      </c>
      <c r="D36" s="17">
        <f>'13_MeritOrder_WESM'!D16*'30_Retail_Inputs'!$D$7</f>
        <v>4901.7499259238048</v>
      </c>
      <c r="E36" s="17">
        <f>'13_MeritOrder_WESM'!E16*'30_Retail_Inputs'!$D$7</f>
        <v>7983.2545582272023</v>
      </c>
      <c r="F36" s="17">
        <f>'13_MeritOrder_WESM'!F16*'30_Retail_Inputs'!$D$7</f>
        <v>12274.93799787528</v>
      </c>
    </row>
    <row r="37" spans="1:7" ht="15" customHeight="1" x14ac:dyDescent="0.15">
      <c r="A37" s="30" t="s">
        <v>495</v>
      </c>
      <c r="B37" s="4" t="s">
        <v>496</v>
      </c>
      <c r="C37" s="17">
        <f>'30_Retail_Inputs'!$C$7+'30_Retail_Inputs'!$E$7*IF(C36&gt;$C$36,C36-$C$36,0)/1000</f>
        <v>6.2</v>
      </c>
      <c r="D37" s="17">
        <f>'30_Retail_Inputs'!$C$7+'30_Retail_Inputs'!$E$7*IF(D36&gt;$C$36,D36-$C$36,0)/1000</f>
        <v>6.4451899030628468</v>
      </c>
      <c r="E37" s="17">
        <f>'30_Retail_Inputs'!$C$7+'30_Retail_Inputs'!$E$7*IF(E36&gt;$C$36,E36-$C$36,0)/1000</f>
        <v>7.3696412927538661</v>
      </c>
      <c r="F37" s="17">
        <f>'30_Retail_Inputs'!$C$7+'30_Retail_Inputs'!$E$7*IF(F36&gt;$C$36,F36-$C$36,0)/1000</f>
        <v>8.6571463246482896</v>
      </c>
    </row>
    <row r="38" spans="1:7" ht="15" customHeight="1" x14ac:dyDescent="0.15">
      <c r="A38" s="30" t="s">
        <v>497</v>
      </c>
      <c r="B38" s="4" t="s">
        <v>406</v>
      </c>
      <c r="C38" s="17">
        <f>C35*1000*C37/1000000</f>
        <v>744</v>
      </c>
      <c r="D38" s="17">
        <f>D35*1000*D37/1000000</f>
        <v>769.55567442570384</v>
      </c>
      <c r="E38" s="17">
        <f>E35*1000*E37/1000000</f>
        <v>866.66981602785472</v>
      </c>
      <c r="F38" s="17">
        <f>F35*1000*F37/1000000</f>
        <v>997.30325659948301</v>
      </c>
    </row>
    <row r="39" spans="1:7" ht="15" customHeight="1" x14ac:dyDescent="0.15">
      <c r="A39" s="30" t="s">
        <v>498</v>
      </c>
      <c r="B39" s="4" t="s">
        <v>406</v>
      </c>
      <c r="C39" s="17">
        <f>C35*C36/1000000</f>
        <v>490.13402988571789</v>
      </c>
      <c r="D39" s="17">
        <f>D35*D36/1000000</f>
        <v>585.26894115530229</v>
      </c>
      <c r="E39" s="17">
        <f>E35*E36/1000000</f>
        <v>938.83073604751894</v>
      </c>
      <c r="F39" s="17">
        <f>F35*F36/1000000</f>
        <v>1414.0728573552321</v>
      </c>
    </row>
    <row r="40" spans="1:7" ht="15" customHeight="1" x14ac:dyDescent="0.15">
      <c r="A40" s="30" t="s">
        <v>499</v>
      </c>
      <c r="B40" s="4" t="s">
        <v>406</v>
      </c>
      <c r="C40" s="17">
        <f>C38*'30_Retail_Inputs'!$F$7*'03_Scenarios'!C20</f>
        <v>11.16</v>
      </c>
      <c r="D40" s="17">
        <f>D38*'30_Retail_Inputs'!$F$7*'03_Scenarios'!D20</f>
        <v>12.120501872204837</v>
      </c>
      <c r="E40" s="17">
        <f>E38*'30_Retail_Inputs'!$F$7*'03_Scenarios'!E20</f>
        <v>14.950054326480494</v>
      </c>
      <c r="F40" s="17">
        <f>F38*'30_Retail_Inputs'!$F$7*'03_Scenarios'!F20</f>
        <v>19.447413503689919</v>
      </c>
    </row>
    <row r="41" spans="1:7" ht="15" customHeight="1" x14ac:dyDescent="0.15">
      <c r="A41" s="30" t="s">
        <v>500</v>
      </c>
      <c r="B41" s="4" t="s">
        <v>406</v>
      </c>
      <c r="C41" s="32">
        <f>'30_Retail_Inputs'!$J$7</f>
        <v>15</v>
      </c>
      <c r="D41" s="32">
        <f>'30_Retail_Inputs'!$J$7</f>
        <v>15</v>
      </c>
      <c r="E41" s="32">
        <f>'30_Retail_Inputs'!$J$7</f>
        <v>15</v>
      </c>
      <c r="F41" s="32">
        <f>'30_Retail_Inputs'!$J$7</f>
        <v>15</v>
      </c>
    </row>
    <row r="42" spans="1:7" ht="15" customHeight="1" x14ac:dyDescent="0.15">
      <c r="A42" s="30" t="s">
        <v>501</v>
      </c>
      <c r="B42" s="4" t="s">
        <v>406</v>
      </c>
      <c r="C42" s="45">
        <f>C38-C39-C40-C41</f>
        <v>227.70597011428211</v>
      </c>
      <c r="D42" s="45">
        <f>D38-D39-D40-D41</f>
        <v>157.16623139819671</v>
      </c>
      <c r="E42" s="45">
        <f>E38-E39-E40-E41</f>
        <v>-102.11097434614472</v>
      </c>
      <c r="F42" s="45">
        <f>F38-F39-F40-F41</f>
        <v>-451.21701425943905</v>
      </c>
    </row>
  </sheetData>
  <mergeCells count="5">
    <mergeCell ref="A14:G14"/>
    <mergeCell ref="A1:G1"/>
    <mergeCell ref="A34:G34"/>
    <mergeCell ref="A24:G24"/>
    <mergeCell ref="A2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0"/>
  <sheetViews>
    <sheetView showGridLines="0" zoomScaleNormal="100" workbookViewId="0">
      <selection sqref="A1:E1"/>
    </sheetView>
  </sheetViews>
  <sheetFormatPr baseColWidth="10" defaultColWidth="8.6640625" defaultRowHeight="15" customHeight="1" x14ac:dyDescent="0.15"/>
  <cols>
    <col min="1" max="1" width="34" customWidth="1"/>
    <col min="2" max="3" width="18" customWidth="1"/>
    <col min="4" max="4" width="12" customWidth="1"/>
    <col min="5" max="5" width="56" customWidth="1"/>
    <col min="6" max="6" width="14" customWidth="1"/>
    <col min="7" max="7" width="65" customWidth="1"/>
  </cols>
  <sheetData>
    <row r="1" spans="1:5" ht="21.75" customHeight="1" x14ac:dyDescent="0.15">
      <c r="A1" s="58" t="s">
        <v>504</v>
      </c>
      <c r="B1" s="59"/>
      <c r="C1" s="59"/>
      <c r="D1" s="59"/>
      <c r="E1" s="59"/>
    </row>
    <row r="2" spans="1:5" ht="13" x14ac:dyDescent="0.15"/>
    <row r="3" spans="1:5" ht="19.5" customHeight="1" x14ac:dyDescent="0.15">
      <c r="A3" s="3" t="s">
        <v>81</v>
      </c>
      <c r="B3" s="3" t="s">
        <v>49</v>
      </c>
      <c r="C3" s="3" t="s">
        <v>50</v>
      </c>
      <c r="D3" s="3" t="s">
        <v>5</v>
      </c>
      <c r="E3" s="3" t="s">
        <v>82</v>
      </c>
    </row>
    <row r="4" spans="1:5" ht="15" customHeight="1" x14ac:dyDescent="0.15">
      <c r="A4" s="13" t="s">
        <v>505</v>
      </c>
      <c r="B4" s="28">
        <v>20</v>
      </c>
      <c r="C4" s="4" t="s">
        <v>174</v>
      </c>
      <c r="D4" s="4" t="s">
        <v>81</v>
      </c>
      <c r="E4" s="16" t="s">
        <v>506</v>
      </c>
    </row>
    <row r="5" spans="1:5" ht="15" customHeight="1" x14ac:dyDescent="0.15">
      <c r="A5" s="13" t="s">
        <v>507</v>
      </c>
      <c r="B5" s="28">
        <v>10</v>
      </c>
      <c r="C5" s="4" t="s">
        <v>174</v>
      </c>
      <c r="D5" s="4" t="s">
        <v>81</v>
      </c>
      <c r="E5" s="16" t="s">
        <v>508</v>
      </c>
    </row>
    <row r="6" spans="1:5" ht="15" customHeight="1" x14ac:dyDescent="0.15">
      <c r="A6" s="13" t="s">
        <v>509</v>
      </c>
      <c r="B6" s="28">
        <v>7</v>
      </c>
      <c r="C6" s="4" t="s">
        <v>174</v>
      </c>
      <c r="D6" s="4" t="s">
        <v>81</v>
      </c>
      <c r="E6" s="16" t="s">
        <v>510</v>
      </c>
    </row>
    <row r="7" spans="1:5" ht="15" customHeight="1" x14ac:dyDescent="0.15">
      <c r="A7" s="13" t="s">
        <v>511</v>
      </c>
      <c r="B7" s="28">
        <v>15</v>
      </c>
      <c r="C7" s="4" t="s">
        <v>174</v>
      </c>
      <c r="D7" s="4" t="s">
        <v>81</v>
      </c>
      <c r="E7" s="16" t="s">
        <v>512</v>
      </c>
    </row>
    <row r="8" spans="1:5" ht="15" customHeight="1" x14ac:dyDescent="0.15">
      <c r="A8" s="13" t="s">
        <v>513</v>
      </c>
      <c r="B8" s="28">
        <v>0</v>
      </c>
      <c r="C8" s="4" t="s">
        <v>174</v>
      </c>
      <c r="D8" s="4" t="s">
        <v>81</v>
      </c>
      <c r="E8" s="16" t="s">
        <v>514</v>
      </c>
    </row>
    <row r="9" spans="1:5" ht="15" customHeight="1" x14ac:dyDescent="0.15">
      <c r="A9" s="13" t="s">
        <v>515</v>
      </c>
      <c r="B9" s="28">
        <v>5</v>
      </c>
      <c r="C9" s="4" t="s">
        <v>174</v>
      </c>
      <c r="D9" s="4" t="s">
        <v>81</v>
      </c>
      <c r="E9" s="16" t="s">
        <v>516</v>
      </c>
    </row>
    <row r="10" spans="1:5" ht="15" customHeight="1" x14ac:dyDescent="0.15">
      <c r="A10" s="13" t="s">
        <v>517</v>
      </c>
      <c r="B10" s="24">
        <v>0.2</v>
      </c>
      <c r="C10" s="4" t="s">
        <v>204</v>
      </c>
      <c r="D10" s="4" t="s">
        <v>81</v>
      </c>
      <c r="E10" s="16" t="s">
        <v>518</v>
      </c>
    </row>
    <row r="11" spans="1:5" ht="15" customHeight="1" x14ac:dyDescent="0.15">
      <c r="A11" s="13" t="s">
        <v>519</v>
      </c>
      <c r="B11" s="24">
        <v>0.25</v>
      </c>
      <c r="C11" s="4" t="s">
        <v>204</v>
      </c>
      <c r="D11" s="4" t="s">
        <v>81</v>
      </c>
      <c r="E11" s="16" t="s">
        <v>520</v>
      </c>
    </row>
    <row r="12" spans="1:5" ht="15" customHeight="1" x14ac:dyDescent="0.15">
      <c r="A12" s="13" t="s">
        <v>521</v>
      </c>
      <c r="B12" s="24">
        <v>0.3</v>
      </c>
      <c r="C12" s="4" t="s">
        <v>204</v>
      </c>
      <c r="D12" s="4" t="s">
        <v>81</v>
      </c>
      <c r="E12" s="16" t="s">
        <v>522</v>
      </c>
    </row>
    <row r="13" spans="1:5" ht="15" customHeight="1" x14ac:dyDescent="0.15">
      <c r="A13" s="13" t="s">
        <v>523</v>
      </c>
      <c r="B13" s="24">
        <v>0.35</v>
      </c>
      <c r="C13" s="4" t="s">
        <v>204</v>
      </c>
      <c r="D13" s="4" t="s">
        <v>81</v>
      </c>
      <c r="E13" s="16" t="s">
        <v>524</v>
      </c>
    </row>
    <row r="14" spans="1:5" ht="15" customHeight="1" x14ac:dyDescent="0.15">
      <c r="A14" s="13" t="s">
        <v>525</v>
      </c>
      <c r="B14" s="40">
        <v>10000</v>
      </c>
      <c r="C14" s="4" t="s">
        <v>526</v>
      </c>
      <c r="D14" s="4" t="s">
        <v>81</v>
      </c>
      <c r="E14" s="16" t="s">
        <v>527</v>
      </c>
    </row>
    <row r="15" spans="1:5" ht="15" customHeight="1" x14ac:dyDescent="0.15">
      <c r="A15" s="13" t="s">
        <v>528</v>
      </c>
      <c r="B15" s="40">
        <v>15000</v>
      </c>
      <c r="C15" s="4" t="s">
        <v>526</v>
      </c>
      <c r="D15" s="4" t="s">
        <v>81</v>
      </c>
      <c r="E15" s="16" t="s">
        <v>529</v>
      </c>
    </row>
    <row r="16" spans="1:5" ht="15" customHeight="1" x14ac:dyDescent="0.15">
      <c r="A16" s="13" t="s">
        <v>530</v>
      </c>
      <c r="B16" s="40">
        <v>2000</v>
      </c>
      <c r="C16" s="4" t="s">
        <v>526</v>
      </c>
      <c r="D16" s="4" t="s">
        <v>81</v>
      </c>
      <c r="E16" s="16" t="s">
        <v>531</v>
      </c>
    </row>
    <row r="17" spans="1:7" ht="15" customHeight="1" x14ac:dyDescent="0.15">
      <c r="A17" s="13" t="s">
        <v>532</v>
      </c>
      <c r="B17" s="40">
        <v>300</v>
      </c>
      <c r="C17" s="4" t="s">
        <v>406</v>
      </c>
      <c r="D17" s="4" t="s">
        <v>81</v>
      </c>
      <c r="E17" s="16" t="s">
        <v>533</v>
      </c>
    </row>
    <row r="18" spans="1:7" ht="15" customHeight="1" x14ac:dyDescent="0.15">
      <c r="A18" s="13" t="s">
        <v>534</v>
      </c>
      <c r="B18" s="40">
        <v>40000</v>
      </c>
      <c r="C18" s="4" t="s">
        <v>526</v>
      </c>
      <c r="D18" s="4" t="s">
        <v>81</v>
      </c>
      <c r="E18" s="16" t="s">
        <v>535</v>
      </c>
    </row>
    <row r="19" spans="1:7" ht="15" customHeight="1" x14ac:dyDescent="0.15">
      <c r="A19" s="13" t="s">
        <v>536</v>
      </c>
      <c r="B19" s="40">
        <v>18000</v>
      </c>
      <c r="C19" s="4" t="s">
        <v>526</v>
      </c>
      <c r="D19" s="4" t="s">
        <v>81</v>
      </c>
      <c r="E19" s="16" t="s">
        <v>537</v>
      </c>
    </row>
    <row r="20" spans="1:7" ht="15" customHeight="1" x14ac:dyDescent="0.15">
      <c r="A20" s="13" t="s">
        <v>538</v>
      </c>
      <c r="B20" s="29">
        <v>4.5</v>
      </c>
      <c r="C20" s="4" t="s">
        <v>118</v>
      </c>
      <c r="D20" s="4" t="s">
        <v>81</v>
      </c>
      <c r="E20" s="16" t="s">
        <v>539</v>
      </c>
    </row>
    <row r="21" spans="1:7" ht="13" x14ac:dyDescent="0.15"/>
    <row r="22" spans="1:7" ht="13" x14ac:dyDescent="0.15"/>
    <row r="23" spans="1:7" ht="15" customHeight="1" x14ac:dyDescent="0.15">
      <c r="A23" s="58" t="s">
        <v>540</v>
      </c>
      <c r="B23" s="59"/>
      <c r="C23" s="59"/>
      <c r="D23" s="59"/>
      <c r="E23" s="59"/>
      <c r="F23" s="59"/>
      <c r="G23" s="59"/>
    </row>
    <row r="24" spans="1:7" ht="15" customHeight="1" x14ac:dyDescent="0.15">
      <c r="A24" s="3" t="s">
        <v>541</v>
      </c>
      <c r="B24" s="3" t="s">
        <v>167</v>
      </c>
      <c r="C24" s="3" t="s">
        <v>221</v>
      </c>
      <c r="D24" s="3" t="s">
        <v>222</v>
      </c>
      <c r="E24" s="3" t="s">
        <v>223</v>
      </c>
      <c r="F24" s="3" t="s">
        <v>50</v>
      </c>
      <c r="G24" s="3" t="s">
        <v>82</v>
      </c>
    </row>
    <row r="25" spans="1:7" ht="28.25" customHeight="1" x14ac:dyDescent="0.15">
      <c r="A25" s="13" t="s">
        <v>542</v>
      </c>
      <c r="B25" s="24">
        <v>1</v>
      </c>
      <c r="C25" s="24">
        <v>0.9</v>
      </c>
      <c r="D25" s="24">
        <v>0.75</v>
      </c>
      <c r="E25" s="24">
        <v>0.6</v>
      </c>
      <c r="F25" s="4" t="s">
        <v>204</v>
      </c>
      <c r="G25" s="16" t="s">
        <v>543</v>
      </c>
    </row>
    <row r="26" spans="1:7" ht="28.25" customHeight="1" x14ac:dyDescent="0.15">
      <c r="A26" s="13" t="s">
        <v>544</v>
      </c>
      <c r="B26" s="24">
        <v>5.0000000000000001E-3</v>
      </c>
      <c r="C26" s="24">
        <v>0.01</v>
      </c>
      <c r="D26" s="24">
        <v>0.02</v>
      </c>
      <c r="E26" s="24">
        <v>0.04</v>
      </c>
      <c r="F26" s="4" t="s">
        <v>204</v>
      </c>
      <c r="G26" s="16" t="s">
        <v>545</v>
      </c>
    </row>
    <row r="27" spans="1:7" ht="15" customHeight="1" x14ac:dyDescent="0.15">
      <c r="A27" s="13" t="s">
        <v>546</v>
      </c>
      <c r="B27" s="28">
        <v>30</v>
      </c>
      <c r="C27" s="28">
        <v>30</v>
      </c>
      <c r="D27" s="28">
        <v>30</v>
      </c>
      <c r="E27" s="28">
        <v>30</v>
      </c>
      <c r="F27" s="4" t="s">
        <v>174</v>
      </c>
      <c r="G27" s="16" t="s">
        <v>547</v>
      </c>
    </row>
    <row r="28" spans="1:7" ht="15" customHeight="1" x14ac:dyDescent="0.15">
      <c r="A28" s="13" t="s">
        <v>548</v>
      </c>
      <c r="B28" s="28">
        <v>1</v>
      </c>
      <c r="C28" s="28">
        <v>1</v>
      </c>
      <c r="D28" s="28">
        <v>1</v>
      </c>
      <c r="E28" s="28">
        <v>1</v>
      </c>
      <c r="F28" s="4" t="s">
        <v>549</v>
      </c>
      <c r="G28" s="16" t="s">
        <v>550</v>
      </c>
    </row>
    <row r="29" spans="1:7" ht="15" customHeight="1" x14ac:dyDescent="0.15">
      <c r="A29" s="13" t="s">
        <v>551</v>
      </c>
      <c r="B29" s="28">
        <v>36</v>
      </c>
      <c r="C29" s="28">
        <v>36</v>
      </c>
      <c r="D29" s="28">
        <v>36</v>
      </c>
      <c r="E29" s="28">
        <v>36</v>
      </c>
      <c r="F29" s="4" t="s">
        <v>549</v>
      </c>
      <c r="G29" s="16" t="s">
        <v>552</v>
      </c>
    </row>
    <row r="30" spans="1:7" ht="15" customHeight="1" x14ac:dyDescent="0.15">
      <c r="A30" s="13" t="s">
        <v>553</v>
      </c>
      <c r="B30" s="24">
        <v>7.0000000000000007E-2</v>
      </c>
      <c r="C30" s="24">
        <v>7.0000000000000007E-2</v>
      </c>
      <c r="D30" s="24">
        <v>7.0000000000000007E-2</v>
      </c>
      <c r="E30" s="24">
        <v>7.0000000000000007E-2</v>
      </c>
      <c r="F30" s="4" t="s">
        <v>204</v>
      </c>
      <c r="G30" s="16" t="s">
        <v>554</v>
      </c>
    </row>
  </sheetData>
  <mergeCells count="2">
    <mergeCell ref="A1:E1"/>
    <mergeCell ref="A23:G2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3"/>
  <sheetViews>
    <sheetView showGridLines="0" zoomScaleNormal="100" workbookViewId="0">
      <selection sqref="A1:G1"/>
    </sheetView>
  </sheetViews>
  <sheetFormatPr baseColWidth="10" defaultColWidth="8.6640625" defaultRowHeight="15" customHeight="1" x14ac:dyDescent="0.15"/>
  <cols>
    <col min="1" max="1" width="28" customWidth="1"/>
    <col min="2" max="6" width="16" customWidth="1"/>
    <col min="7" max="7" width="28" customWidth="1"/>
  </cols>
  <sheetData>
    <row r="1" spans="1:7" ht="21.75" customHeight="1" x14ac:dyDescent="0.15">
      <c r="A1" s="58" t="s">
        <v>555</v>
      </c>
      <c r="B1" s="59"/>
      <c r="C1" s="59"/>
      <c r="D1" s="59"/>
      <c r="E1" s="59"/>
      <c r="F1" s="59"/>
      <c r="G1" s="59"/>
    </row>
    <row r="2" spans="1:7" ht="15" customHeight="1" x14ac:dyDescent="0.15">
      <c r="A2" s="60" t="s">
        <v>556</v>
      </c>
      <c r="B2" s="61"/>
      <c r="C2" s="61"/>
      <c r="D2" s="61"/>
      <c r="E2" s="61"/>
      <c r="F2" s="61"/>
      <c r="G2" s="62"/>
    </row>
    <row r="3" spans="1:7" ht="15" customHeight="1" x14ac:dyDescent="0.15">
      <c r="A3" s="63"/>
      <c r="B3" s="64"/>
      <c r="C3" s="64"/>
      <c r="D3" s="64"/>
      <c r="E3" s="64"/>
      <c r="F3" s="64"/>
      <c r="G3" s="65"/>
    </row>
    <row r="4" spans="1:7" ht="13" x14ac:dyDescent="0.15"/>
    <row r="5" spans="1:7" ht="19.5" customHeight="1" x14ac:dyDescent="0.15">
      <c r="A5" s="3" t="s">
        <v>220</v>
      </c>
      <c r="B5" s="3" t="s">
        <v>50</v>
      </c>
      <c r="C5" s="3" t="s">
        <v>167</v>
      </c>
      <c r="D5" s="3" t="s">
        <v>221</v>
      </c>
      <c r="E5" s="3" t="s">
        <v>222</v>
      </c>
      <c r="F5" s="3" t="s">
        <v>223</v>
      </c>
      <c r="G5" s="3" t="s">
        <v>230</v>
      </c>
    </row>
    <row r="6" spans="1:7" ht="15" customHeight="1" x14ac:dyDescent="0.15">
      <c r="A6" s="30" t="s">
        <v>557</v>
      </c>
      <c r="B6" s="4" t="s">
        <v>406</v>
      </c>
      <c r="C6" s="17">
        <f>'12_PlantSRMC'!C31*'12_PlantSRMC'!C10/1000000</f>
        <v>182</v>
      </c>
      <c r="D6" s="17">
        <f>'12_PlantSRMC'!D31*'12_PlantSRMC'!D10/1000000</f>
        <v>182</v>
      </c>
      <c r="E6" s="17">
        <f>'12_PlantSRMC'!E31*'12_PlantSRMC'!E10/1000000</f>
        <v>182</v>
      </c>
      <c r="F6" s="17">
        <f>'12_PlantSRMC'!F31*'12_PlantSRMC'!F10/1000000</f>
        <v>182</v>
      </c>
    </row>
    <row r="7" spans="1:7" ht="15" customHeight="1" x14ac:dyDescent="0.15">
      <c r="A7" s="30" t="s">
        <v>558</v>
      </c>
      <c r="B7" s="4" t="s">
        <v>406</v>
      </c>
      <c r="C7" s="17">
        <f>'12_PlantSRMC'!C32*'12_PlantSRMC'!C19/1000000</f>
        <v>1145.1813221288728</v>
      </c>
      <c r="D7" s="17">
        <f>'12_PlantSRMC'!D32*'12_PlantSRMC'!D19/1000000</f>
        <v>1348.3245769324096</v>
      </c>
      <c r="E7" s="17">
        <f>'12_PlantSRMC'!E32*'12_PlantSRMC'!E19/1000000</f>
        <v>1658.2846694867387</v>
      </c>
      <c r="F7" s="17">
        <f>'12_PlantSRMC'!F32*'12_PlantSRMC'!F19/1000000</f>
        <v>2246.0244375653997</v>
      </c>
    </row>
    <row r="8" spans="1:7" ht="15" customHeight="1" x14ac:dyDescent="0.15">
      <c r="A8" s="30" t="s">
        <v>559</v>
      </c>
      <c r="B8" s="4" t="s">
        <v>406</v>
      </c>
      <c r="C8" s="17">
        <f>'12_PlantSRMC'!C33*'12_PlantSRMC'!C26/1000000</f>
        <v>94.428436758620677</v>
      </c>
      <c r="D8" s="17">
        <f>'12_PlantSRMC'!D33*'12_PlantSRMC'!D26/1000000</f>
        <v>183.92306896551727</v>
      </c>
      <c r="E8" s="17">
        <f>'12_PlantSRMC'!E33*'12_PlantSRMC'!E26/1000000</f>
        <v>596.7027801724139</v>
      </c>
      <c r="F8" s="17">
        <f>'12_PlantSRMC'!F33*'12_PlantSRMC'!F26/1000000</f>
        <v>1523.9225000000001</v>
      </c>
    </row>
    <row r="9" spans="1:7" ht="15" customHeight="1" x14ac:dyDescent="0.15">
      <c r="A9" s="30" t="s">
        <v>560</v>
      </c>
      <c r="B9" s="4" t="s">
        <v>406</v>
      </c>
      <c r="C9" s="17">
        <f>SUM(C6:C8)</f>
        <v>1421.6097588874934</v>
      </c>
      <c r="D9" s="17">
        <f>SUM(D6:D8)</f>
        <v>1714.247645897927</v>
      </c>
      <c r="E9" s="17">
        <f>SUM(E6:E8)</f>
        <v>2436.9874496591528</v>
      </c>
      <c r="F9" s="17">
        <f>SUM(F6:F8)</f>
        <v>3951.9469375653998</v>
      </c>
    </row>
    <row r="10" spans="1:7" ht="15" customHeight="1" x14ac:dyDescent="0.15">
      <c r="A10" s="30" t="s">
        <v>561</v>
      </c>
      <c r="B10" s="4" t="s">
        <v>174</v>
      </c>
      <c r="C10" s="46">
        <f>'40_Liquidity_Inputs'!$B$4+'03_Scenarios'!C17-'40_Liquidity_Inputs'!$B$7</f>
        <v>5</v>
      </c>
      <c r="D10" s="46">
        <f>'40_Liquidity_Inputs'!$B$4+'03_Scenarios'!D17-'40_Liquidity_Inputs'!$B$7</f>
        <v>10</v>
      </c>
      <c r="E10" s="46">
        <f>'40_Liquidity_Inputs'!$B$4+'03_Scenarios'!E17-'40_Liquidity_Inputs'!$B$7</f>
        <v>19</v>
      </c>
      <c r="F10" s="46">
        <f>'40_Liquidity_Inputs'!$B$4+'03_Scenarios'!F17-'40_Liquidity_Inputs'!$B$7</f>
        <v>33</v>
      </c>
    </row>
    <row r="11" spans="1:7" ht="15" customHeight="1" x14ac:dyDescent="0.15">
      <c r="A11" s="30" t="s">
        <v>562</v>
      </c>
      <c r="B11" s="4" t="s">
        <v>526</v>
      </c>
      <c r="C11" s="17">
        <f>C6/30*C10</f>
        <v>30.333333333333332</v>
      </c>
      <c r="D11" s="17">
        <f>D6/30*D10</f>
        <v>60.666666666666664</v>
      </c>
      <c r="E11" s="17">
        <f>E6/30*E10</f>
        <v>115.26666666666667</v>
      </c>
      <c r="F11" s="17">
        <f>F6/30*F10</f>
        <v>200.2</v>
      </c>
    </row>
    <row r="12" spans="1:7" ht="15" customHeight="1" x14ac:dyDescent="0.15">
      <c r="A12" s="30" t="s">
        <v>563</v>
      </c>
      <c r="B12" s="4" t="s">
        <v>174</v>
      </c>
      <c r="C12" s="46">
        <f>'40_Liquidity_Inputs'!$B$5-'40_Liquidity_Inputs'!$B$8</f>
        <v>10</v>
      </c>
      <c r="D12" s="46">
        <f>'40_Liquidity_Inputs'!$B$5-'40_Liquidity_Inputs'!$B$8</f>
        <v>10</v>
      </c>
      <c r="E12" s="46">
        <f>'40_Liquidity_Inputs'!$B$5-'40_Liquidity_Inputs'!$B$8</f>
        <v>10</v>
      </c>
      <c r="F12" s="46">
        <f>'40_Liquidity_Inputs'!$B$5-'40_Liquidity_Inputs'!$B$8</f>
        <v>10</v>
      </c>
    </row>
    <row r="13" spans="1:7" ht="15" customHeight="1" x14ac:dyDescent="0.15">
      <c r="A13" s="30" t="s">
        <v>564</v>
      </c>
      <c r="B13" s="4" t="s">
        <v>526</v>
      </c>
      <c r="C13" s="17">
        <f>C7/30*C12</f>
        <v>381.72710737629097</v>
      </c>
      <c r="D13" s="17">
        <f>D7/30*D12</f>
        <v>449.44152564413656</v>
      </c>
      <c r="E13" s="17">
        <f>E7/30*E12</f>
        <v>552.76155649557961</v>
      </c>
      <c r="F13" s="17">
        <f>F7/30*F12</f>
        <v>748.67481252179982</v>
      </c>
    </row>
    <row r="14" spans="1:7" ht="15" customHeight="1" x14ac:dyDescent="0.15">
      <c r="A14" s="30" t="s">
        <v>565</v>
      </c>
      <c r="B14" s="4" t="s">
        <v>174</v>
      </c>
      <c r="C14" s="46">
        <f>'40_Liquidity_Inputs'!$B$6-'40_Liquidity_Inputs'!$B$9</f>
        <v>2</v>
      </c>
      <c r="D14" s="46">
        <f>'40_Liquidity_Inputs'!$B$6-'40_Liquidity_Inputs'!$B$9</f>
        <v>2</v>
      </c>
      <c r="E14" s="46">
        <f>'40_Liquidity_Inputs'!$B$6-'40_Liquidity_Inputs'!$B$9</f>
        <v>2</v>
      </c>
      <c r="F14" s="46">
        <f>'40_Liquidity_Inputs'!$B$6-'40_Liquidity_Inputs'!$B$9</f>
        <v>2</v>
      </c>
    </row>
    <row r="15" spans="1:7" ht="15" customHeight="1" x14ac:dyDescent="0.15">
      <c r="A15" s="30" t="s">
        <v>566</v>
      </c>
      <c r="B15" s="4" t="s">
        <v>526</v>
      </c>
      <c r="C15" s="17">
        <f>C8/30*C14</f>
        <v>6.2952291172413783</v>
      </c>
      <c r="D15" s="17">
        <f>D8/30*D14</f>
        <v>12.261537931034486</v>
      </c>
      <c r="E15" s="17">
        <f>E8/30*E14</f>
        <v>39.780185344827593</v>
      </c>
      <c r="F15" s="17">
        <f>F8/30*F14</f>
        <v>101.59483333333334</v>
      </c>
    </row>
    <row r="16" spans="1:7" ht="28.25" customHeight="1" x14ac:dyDescent="0.15">
      <c r="A16" s="30" t="s">
        <v>567</v>
      </c>
      <c r="B16" s="4" t="s">
        <v>526</v>
      </c>
      <c r="C16" s="17">
        <f>SUM(C11,C13,C15)</f>
        <v>418.35566982686566</v>
      </c>
      <c r="D16" s="17">
        <f>SUM(D11,D13,D15)</f>
        <v>522.36973024183771</v>
      </c>
      <c r="E16" s="17">
        <f>SUM(E11,E13,E15)</f>
        <v>707.80840850707386</v>
      </c>
      <c r="F16" s="17">
        <f>SUM(F11,F13,F15)</f>
        <v>1050.4696458551332</v>
      </c>
      <c r="G16" s="16" t="s">
        <v>568</v>
      </c>
    </row>
    <row r="17" spans="1:7" ht="15" customHeight="1" x14ac:dyDescent="0.15">
      <c r="A17" s="30" t="s">
        <v>569</v>
      </c>
      <c r="B17" s="4" t="s">
        <v>204</v>
      </c>
      <c r="C17" s="33">
        <f>'40_Liquidity_Inputs'!$B$10</f>
        <v>0.2</v>
      </c>
      <c r="D17" s="33">
        <f>'40_Liquidity_Inputs'!$B$11</f>
        <v>0.25</v>
      </c>
      <c r="E17" s="33">
        <f>'40_Liquidity_Inputs'!$B$12</f>
        <v>0.3</v>
      </c>
      <c r="F17" s="33">
        <f>'40_Liquidity_Inputs'!$B$13</f>
        <v>0.35</v>
      </c>
    </row>
    <row r="18" spans="1:7" ht="15" customHeight="1" x14ac:dyDescent="0.15">
      <c r="A18" s="30" t="s">
        <v>570</v>
      </c>
      <c r="B18" s="4" t="s">
        <v>526</v>
      </c>
      <c r="C18" s="17">
        <f>C9*C17</f>
        <v>284.32195177749867</v>
      </c>
      <c r="D18" s="17">
        <f>D9*D17</f>
        <v>428.56191147448175</v>
      </c>
      <c r="E18" s="17">
        <f>E9*E17</f>
        <v>731.09623489774583</v>
      </c>
      <c r="F18" s="17">
        <f>F9*F17</f>
        <v>1383.1814281478898</v>
      </c>
      <c r="G18" s="16" t="s">
        <v>571</v>
      </c>
    </row>
    <row r="19" spans="1:7" ht="15" customHeight="1" x14ac:dyDescent="0.15">
      <c r="A19" s="30" t="s">
        <v>572</v>
      </c>
      <c r="B19" s="4" t="s">
        <v>406</v>
      </c>
      <c r="C19" s="17">
        <f>'15_GenMargin'!C20+'21_SupplyWholesale_Margin'!C12+'31_Retail_EBIT'!C9</f>
        <v>2423.7281537694871</v>
      </c>
      <c r="D19" s="17">
        <f>'15_GenMargin'!D20+'21_SupplyWholesale_Margin'!D12+'31_Retail_EBIT'!D9</f>
        <v>2310.2714660090701</v>
      </c>
      <c r="E19" s="17">
        <f>'15_GenMargin'!E20+'21_SupplyWholesale_Margin'!E12+'31_Retail_EBIT'!E9</f>
        <v>2860.5426985694198</v>
      </c>
      <c r="F19" s="17">
        <f>'15_GenMargin'!F20+'21_SupplyWholesale_Margin'!F12+'31_Retail_EBIT'!F9</f>
        <v>3041.0247885618769</v>
      </c>
    </row>
    <row r="20" spans="1:7" ht="15" customHeight="1" x14ac:dyDescent="0.15">
      <c r="A20" s="30" t="s">
        <v>573</v>
      </c>
      <c r="B20" s="4" t="s">
        <v>406</v>
      </c>
      <c r="C20" s="17">
        <f>$C$19-C19</f>
        <v>0</v>
      </c>
      <c r="D20" s="17">
        <f>$C$19-D19</f>
        <v>113.45668776041703</v>
      </c>
      <c r="E20" s="17">
        <f>$C$19-E19</f>
        <v>-436.81454479993272</v>
      </c>
      <c r="F20" s="17">
        <f>$C$19-F19</f>
        <v>-617.2966347923898</v>
      </c>
    </row>
    <row r="21" spans="1:7" ht="15" customHeight="1" x14ac:dyDescent="0.15">
      <c r="A21" s="30" t="s">
        <v>574</v>
      </c>
      <c r="B21" s="4" t="s">
        <v>549</v>
      </c>
      <c r="C21" s="17">
        <v>0</v>
      </c>
      <c r="D21" s="17">
        <v>1</v>
      </c>
      <c r="E21" s="17">
        <v>3</v>
      </c>
      <c r="F21" s="17">
        <v>6</v>
      </c>
    </row>
    <row r="22" spans="1:7" ht="15" customHeight="1" x14ac:dyDescent="0.15">
      <c r="A22" s="30" t="s">
        <v>575</v>
      </c>
      <c r="B22" s="4" t="s">
        <v>526</v>
      </c>
      <c r="C22" s="32">
        <f>'40_Liquidity_Inputs'!$B$14+'40_Liquidity_Inputs'!$B$15</f>
        <v>25000</v>
      </c>
      <c r="D22" s="32">
        <f>'40_Liquidity_Inputs'!$B$14+'40_Liquidity_Inputs'!$B$15</f>
        <v>25000</v>
      </c>
      <c r="E22" s="32">
        <f>'40_Liquidity_Inputs'!$B$14+'40_Liquidity_Inputs'!$B$15</f>
        <v>25000</v>
      </c>
      <c r="F22" s="32">
        <f>'40_Liquidity_Inputs'!$B$14+'40_Liquidity_Inputs'!$B$15</f>
        <v>25000</v>
      </c>
    </row>
    <row r="23" spans="1:7" ht="15" customHeight="1" x14ac:dyDescent="0.15">
      <c r="A23" s="30" t="s">
        <v>576</v>
      </c>
      <c r="B23" s="4" t="s">
        <v>526</v>
      </c>
      <c r="C23" s="17">
        <f>C21*'40_Liquidity_Inputs'!$B$17</f>
        <v>0</v>
      </c>
      <c r="D23" s="17">
        <f>D21*'40_Liquidity_Inputs'!$B$17</f>
        <v>300</v>
      </c>
      <c r="E23" s="17">
        <f>E21*'40_Liquidity_Inputs'!$B$17</f>
        <v>900</v>
      </c>
      <c r="F23" s="17">
        <f>F21*'40_Liquidity_Inputs'!$B$17</f>
        <v>1800</v>
      </c>
    </row>
    <row r="24" spans="1:7" ht="55.25" customHeight="1" x14ac:dyDescent="0.15">
      <c r="A24" s="30" t="s">
        <v>577</v>
      </c>
      <c r="B24" s="4" t="s">
        <v>526</v>
      </c>
      <c r="C24" s="45">
        <f>C22-C16-C18-C20*C21-C23-C42-C43</f>
        <v>24297.322378395635</v>
      </c>
      <c r="D24" s="45">
        <f>D22-D16-D18-D20*D21-D23-D42-D43</f>
        <v>23606.347881822225</v>
      </c>
      <c r="E24" s="45">
        <f>E22-E16-E18-E20*E21-E23-E42-E43</f>
        <v>23185.979798803855</v>
      </c>
      <c r="F24" s="45">
        <f>F22-F16-F18-F20*F21-F23-F42-F43</f>
        <v>18214.824119626406</v>
      </c>
      <c r="G24" s="16" t="s">
        <v>578</v>
      </c>
    </row>
    <row r="25" spans="1:7" ht="15" customHeight="1" x14ac:dyDescent="0.15">
      <c r="A25" s="30" t="s">
        <v>579</v>
      </c>
      <c r="B25" s="4" t="s">
        <v>526</v>
      </c>
      <c r="C25" s="32">
        <f>'40_Liquidity_Inputs'!$B$19+(C19-$C$19)*12</f>
        <v>18000</v>
      </c>
      <c r="D25" s="32">
        <f>'40_Liquidity_Inputs'!$B$19+(D19-$C$19)*12</f>
        <v>16638.519746874998</v>
      </c>
      <c r="E25" s="32">
        <f>'40_Liquidity_Inputs'!$B$19+(E19-$C$19)*12</f>
        <v>23241.774537599194</v>
      </c>
      <c r="F25" s="32">
        <f>'40_Liquidity_Inputs'!$B$19+(F19-$C$19)*12</f>
        <v>25407.559617508676</v>
      </c>
    </row>
    <row r="26" spans="1:7" ht="15" customHeight="1" x14ac:dyDescent="0.15">
      <c r="A26" s="30" t="s">
        <v>580</v>
      </c>
      <c r="B26" s="4" t="s">
        <v>526</v>
      </c>
      <c r="C26" s="17">
        <f>C25*'40_Liquidity_Inputs'!$B$20</f>
        <v>81000</v>
      </c>
      <c r="D26" s="17">
        <f>D25*'40_Liquidity_Inputs'!$B$20</f>
        <v>74873.338860937482</v>
      </c>
      <c r="E26" s="17">
        <f>E25*'40_Liquidity_Inputs'!$B$20</f>
        <v>104587.98541919637</v>
      </c>
      <c r="F26" s="17">
        <f>F25*'40_Liquidity_Inputs'!$B$20</f>
        <v>114334.01827878904</v>
      </c>
    </row>
    <row r="27" spans="1:7" ht="28.25" customHeight="1" x14ac:dyDescent="0.15">
      <c r="A27" s="30" t="s">
        <v>581</v>
      </c>
      <c r="B27" s="4" t="s">
        <v>526</v>
      </c>
      <c r="C27" s="45">
        <f>C26-'40_Liquidity_Inputs'!$B$18</f>
        <v>41000</v>
      </c>
      <c r="D27" s="45">
        <f>D26-'40_Liquidity_Inputs'!$B$18</f>
        <v>34873.338860937482</v>
      </c>
      <c r="E27" s="45">
        <f>E26-'40_Liquidity_Inputs'!$B$18</f>
        <v>64587.985419196368</v>
      </c>
      <c r="F27" s="45">
        <f>F26-'40_Liquidity_Inputs'!$B$18</f>
        <v>74334.018278789037</v>
      </c>
      <c r="G27" s="16" t="s">
        <v>582</v>
      </c>
    </row>
    <row r="28" spans="1:7" ht="15" customHeight="1" x14ac:dyDescent="0.15">
      <c r="A28" s="30" t="s">
        <v>583</v>
      </c>
      <c r="B28" s="4" t="s">
        <v>526</v>
      </c>
      <c r="C28" s="32">
        <f>'40_Liquidity_Inputs'!$B$16</f>
        <v>2000</v>
      </c>
      <c r="D28" s="32">
        <f>'40_Liquidity_Inputs'!$B$16</f>
        <v>2000</v>
      </c>
      <c r="E28" s="32">
        <f>'40_Liquidity_Inputs'!$B$16</f>
        <v>2000</v>
      </c>
      <c r="F28" s="32">
        <f>'40_Liquidity_Inputs'!$B$16</f>
        <v>2000</v>
      </c>
    </row>
    <row r="29" spans="1:7" ht="15" customHeight="1" x14ac:dyDescent="0.15">
      <c r="A29" s="30" t="s">
        <v>584</v>
      </c>
      <c r="B29" s="4" t="s">
        <v>526</v>
      </c>
      <c r="C29" s="17">
        <f>C24-C28</f>
        <v>22297.322378395635</v>
      </c>
      <c r="D29" s="17">
        <f>D24-D28</f>
        <v>21606.347881822225</v>
      </c>
      <c r="E29" s="17">
        <f>E24-E28</f>
        <v>21185.979798803855</v>
      </c>
      <c r="F29" s="17">
        <f>F24-F28</f>
        <v>16214.824119626406</v>
      </c>
    </row>
    <row r="30" spans="1:7" ht="55.25" customHeight="1" x14ac:dyDescent="0.15">
      <c r="A30" s="30" t="s">
        <v>585</v>
      </c>
      <c r="B30" s="4" t="s">
        <v>174</v>
      </c>
      <c r="C30" s="50">
        <f>IF((C20+'40_Liquidity_Inputs'!$B$17+C34+C36)&gt;0,IF(C24&gt;C28,((C24-C28)/(C20+'40_Liquidity_Inputs'!$B$17+C34+C36))*30,0),999)</f>
        <v>2229.7322378395634</v>
      </c>
      <c r="D30" s="50">
        <f>IF((D20+'40_Liquidity_Inputs'!$B$17+D34+D36)&gt;0,IF(D24&gt;D28,((D24-D28)/(D20+'40_Liquidity_Inputs'!$B$17+D34+D36))*30,0),999)</f>
        <v>1454.493459787589</v>
      </c>
      <c r="E30" s="50">
        <f>IF((E20+'40_Liquidity_Inputs'!$B$17+E34+E36)&gt;0,IF(E24&gt;E28,((E24-E28)/(E20+'40_Liquidity_Inputs'!$B$17+E34+E36))*30,0),999)</f>
        <v>4627.867188557384</v>
      </c>
      <c r="F30" s="50">
        <f>IF((F20+'40_Liquidity_Inputs'!$B$17+F34+F36)&gt;0,IF(F24&gt;F28,((F24-F28)/(F20+'40_Liquidity_Inputs'!$B$17+F34+F36))*30,0),999)</f>
        <v>611.07175454743003</v>
      </c>
      <c r="G30" s="16" t="s">
        <v>586</v>
      </c>
    </row>
    <row r="31" spans="1:7" ht="55.25" customHeight="1" x14ac:dyDescent="0.15">
      <c r="A31" s="30" t="s">
        <v>587</v>
      </c>
      <c r="B31" s="4" t="s">
        <v>406</v>
      </c>
      <c r="C31" s="17">
        <f>MAX(C9-$C$9,0)</f>
        <v>0</v>
      </c>
      <c r="D31" s="17">
        <f>MAX(D9-$C$9,0)</f>
        <v>292.63788701043359</v>
      </c>
      <c r="E31" s="17">
        <f>MAX(E9-$C$9,0)</f>
        <v>1015.3776907716594</v>
      </c>
      <c r="F31" s="17">
        <f>MAX(F9-$C$9,0)</f>
        <v>2530.3371786779062</v>
      </c>
      <c r="G31" s="16" t="s">
        <v>588</v>
      </c>
    </row>
    <row r="32" spans="1:7" ht="28.25" customHeight="1" x14ac:dyDescent="0.15">
      <c r="A32" s="30" t="s">
        <v>589</v>
      </c>
      <c r="B32" s="4" t="s">
        <v>204</v>
      </c>
      <c r="C32" s="33">
        <f>'40_Liquidity_Inputs'!B25</f>
        <v>1</v>
      </c>
      <c r="D32" s="33">
        <f>'40_Liquidity_Inputs'!C25</f>
        <v>0.9</v>
      </c>
      <c r="E32" s="33">
        <f>'40_Liquidity_Inputs'!D25</f>
        <v>0.75</v>
      </c>
      <c r="F32" s="33">
        <f>'40_Liquidity_Inputs'!E25</f>
        <v>0.6</v>
      </c>
      <c r="G32" s="16" t="s">
        <v>590</v>
      </c>
    </row>
    <row r="33" spans="1:7" ht="28.25" customHeight="1" x14ac:dyDescent="0.15">
      <c r="A33" s="30" t="s">
        <v>591</v>
      </c>
      <c r="B33" s="4" t="s">
        <v>406</v>
      </c>
      <c r="C33" s="17">
        <f>C31*C32</f>
        <v>0</v>
      </c>
      <c r="D33" s="17">
        <f>D31*D32</f>
        <v>263.37409830939026</v>
      </c>
      <c r="E33" s="17">
        <f>E31*E32</f>
        <v>761.53326807874464</v>
      </c>
      <c r="F33" s="17">
        <f>F31*F32</f>
        <v>1518.2023072067436</v>
      </c>
      <c r="G33" s="16" t="s">
        <v>592</v>
      </c>
    </row>
    <row r="34" spans="1:7" ht="28.25" customHeight="1" x14ac:dyDescent="0.15">
      <c r="A34" s="30" t="s">
        <v>593</v>
      </c>
      <c r="B34" s="4" t="s">
        <v>406</v>
      </c>
      <c r="C34" s="17">
        <f>C31*(1-C32)</f>
        <v>0</v>
      </c>
      <c r="D34" s="17">
        <f>D31*(1-D32)</f>
        <v>29.263788701043353</v>
      </c>
      <c r="E34" s="17">
        <f>E31*(1-E32)</f>
        <v>253.84442269291486</v>
      </c>
      <c r="F34" s="17">
        <f>F31*(1-F32)</f>
        <v>1012.1348714711626</v>
      </c>
      <c r="G34" s="16" t="s">
        <v>594</v>
      </c>
    </row>
    <row r="35" spans="1:7" ht="28.25" customHeight="1" x14ac:dyDescent="0.15">
      <c r="A35" s="30" t="s">
        <v>595</v>
      </c>
      <c r="B35" s="4" t="s">
        <v>204</v>
      </c>
      <c r="C35" s="33">
        <f>'40_Liquidity_Inputs'!B26</f>
        <v>5.0000000000000001E-3</v>
      </c>
      <c r="D35" s="33">
        <f>'40_Liquidity_Inputs'!C26</f>
        <v>0.01</v>
      </c>
      <c r="E35" s="33">
        <f>'40_Liquidity_Inputs'!D26</f>
        <v>0.02</v>
      </c>
      <c r="F35" s="33">
        <f>'40_Liquidity_Inputs'!E26</f>
        <v>0.04</v>
      </c>
      <c r="G35" s="16" t="s">
        <v>596</v>
      </c>
    </row>
    <row r="36" spans="1:7" ht="28.25" customHeight="1" x14ac:dyDescent="0.15">
      <c r="A36" s="30" t="s">
        <v>597</v>
      </c>
      <c r="B36" s="4" t="s">
        <v>406</v>
      </c>
      <c r="C36" s="17">
        <f>C31*C35</f>
        <v>0</v>
      </c>
      <c r="D36" s="17">
        <f>D31*D35</f>
        <v>2.9263788701043358</v>
      </c>
      <c r="E36" s="17">
        <f>E31*E35</f>
        <v>20.307553815433188</v>
      </c>
      <c r="F36" s="17">
        <f>F31*F35</f>
        <v>101.21348714711625</v>
      </c>
      <c r="G36" s="16" t="s">
        <v>598</v>
      </c>
    </row>
    <row r="37" spans="1:7" ht="28.25" customHeight="1" x14ac:dyDescent="0.15">
      <c r="A37" s="30" t="s">
        <v>599</v>
      </c>
      <c r="B37" s="4" t="s">
        <v>549</v>
      </c>
      <c r="C37" s="47">
        <f>MAX(0,C21-ROUNDUP('40_Liquidity_Inputs'!B27/30,0))</f>
        <v>0</v>
      </c>
      <c r="D37" s="47">
        <f>MAX(0,D21-ROUNDUP('40_Liquidity_Inputs'!C27/30,0))</f>
        <v>0</v>
      </c>
      <c r="E37" s="47">
        <f>MAX(0,E21-ROUNDUP('40_Liquidity_Inputs'!D27/30,0))</f>
        <v>2</v>
      </c>
      <c r="F37" s="47">
        <f>MAX(0,F21-ROUNDUP('40_Liquidity_Inputs'!E27/30,0))</f>
        <v>5</v>
      </c>
      <c r="G37" s="16" t="s">
        <v>600</v>
      </c>
    </row>
    <row r="38" spans="1:7" ht="41.75" customHeight="1" x14ac:dyDescent="0.15">
      <c r="A38" s="30" t="s">
        <v>601</v>
      </c>
      <c r="B38" s="4" t="s">
        <v>526</v>
      </c>
      <c r="C38" s="17">
        <f>C33*C37</f>
        <v>0</v>
      </c>
      <c r="D38" s="17">
        <f>D33*D37</f>
        <v>0</v>
      </c>
      <c r="E38" s="17">
        <f>E33*E37</f>
        <v>1523.0665361574893</v>
      </c>
      <c r="F38" s="17">
        <f>F33*F37</f>
        <v>7591.0115360337186</v>
      </c>
      <c r="G38" s="16" t="s">
        <v>602</v>
      </c>
    </row>
    <row r="39" spans="1:7" ht="15" customHeight="1" x14ac:dyDescent="0.15">
      <c r="A39" s="30" t="s">
        <v>603</v>
      </c>
      <c r="B39" s="4" t="s">
        <v>549</v>
      </c>
      <c r="C39" s="47">
        <f>'40_Liquidity_Inputs'!B29</f>
        <v>36</v>
      </c>
      <c r="D39" s="47">
        <f>'40_Liquidity_Inputs'!C29</f>
        <v>36</v>
      </c>
      <c r="E39" s="47">
        <f>'40_Liquidity_Inputs'!D29</f>
        <v>36</v>
      </c>
      <c r="F39" s="47">
        <f>'40_Liquidity_Inputs'!E29</f>
        <v>36</v>
      </c>
      <c r="G39" s="16" t="s">
        <v>604</v>
      </c>
    </row>
    <row r="40" spans="1:7" ht="15" customHeight="1" x14ac:dyDescent="0.15">
      <c r="A40" s="30" t="s">
        <v>605</v>
      </c>
      <c r="B40" s="4" t="s">
        <v>204</v>
      </c>
      <c r="C40" s="33">
        <f>'40_Liquidity_Inputs'!B30</f>
        <v>7.0000000000000007E-2</v>
      </c>
      <c r="D40" s="33">
        <f>'40_Liquidity_Inputs'!C30</f>
        <v>7.0000000000000007E-2</v>
      </c>
      <c r="E40" s="33">
        <f>'40_Liquidity_Inputs'!D30</f>
        <v>7.0000000000000007E-2</v>
      </c>
      <c r="F40" s="33">
        <f>'40_Liquidity_Inputs'!E30</f>
        <v>7.0000000000000007E-2</v>
      </c>
      <c r="G40" s="16" t="s">
        <v>606</v>
      </c>
    </row>
    <row r="41" spans="1:7" ht="28.25" customHeight="1" x14ac:dyDescent="0.15">
      <c r="A41" s="30" t="s">
        <v>607</v>
      </c>
      <c r="B41" s="4" t="s">
        <v>118</v>
      </c>
      <c r="C41" s="51">
        <f>1-1/C39+C40/12</f>
        <v>0.97805555555555557</v>
      </c>
      <c r="D41" s="51">
        <f>1-1/D39+D40/12</f>
        <v>0.97805555555555557</v>
      </c>
      <c r="E41" s="51">
        <f>1-1/E39+E40/12</f>
        <v>0.97805555555555557</v>
      </c>
      <c r="F41" s="51">
        <f>1-1/F39+F40/12</f>
        <v>0.97805555555555557</v>
      </c>
      <c r="G41" s="16" t="s">
        <v>608</v>
      </c>
    </row>
    <row r="42" spans="1:7" ht="41.75" customHeight="1" x14ac:dyDescent="0.15">
      <c r="A42" s="30" t="s">
        <v>609</v>
      </c>
      <c r="B42" s="4" t="s">
        <v>526</v>
      </c>
      <c r="C42" s="17">
        <f>IF(C21=0,0,IF(ABS(C41-1)&lt;0.000001,C34*C21,C34*((C41^C21)-1)/(C41-1)))</f>
        <v>0</v>
      </c>
      <c r="D42" s="17">
        <f>IF(D21=0,0,IF(ABS(D41-1)&lt;0.000001,D34*D21,D34*((D41^D21)-1)/(D41-1)))</f>
        <v>29.263788701043353</v>
      </c>
      <c r="E42" s="17">
        <f>IF(E21=0,0,IF(ABS(E41-1)&lt;0.000001,E34*E21,E34*((E41^E21)-1)/(E41-1)))</f>
        <v>744.94408456025963</v>
      </c>
      <c r="F42" s="17">
        <f>IF(F21=0,0,IF(ABS(F41-1)&lt;0.000001,F34*F21,F34*((F41^F21)-1)/(F41-1)))</f>
        <v>5749.2371793893235</v>
      </c>
      <c r="G42" s="16" t="s">
        <v>610</v>
      </c>
    </row>
    <row r="43" spans="1:7" ht="28.25" customHeight="1" x14ac:dyDescent="0.15">
      <c r="A43" s="30" t="s">
        <v>611</v>
      </c>
      <c r="B43" s="4" t="s">
        <v>526</v>
      </c>
      <c r="C43" s="17">
        <f>C36*MAX(0,C21-'40_Liquidity_Inputs'!B28)</f>
        <v>0</v>
      </c>
      <c r="D43" s="17">
        <f>D36*MAX(0,D21-'40_Liquidity_Inputs'!C28)</f>
        <v>0</v>
      </c>
      <c r="E43" s="17">
        <f>E36*MAX(0,E21-'40_Liquidity_Inputs'!D28)</f>
        <v>40.615107630866376</v>
      </c>
      <c r="F43" s="17">
        <f>F36*MAX(0,F21-'40_Liquidity_Inputs'!E28)</f>
        <v>506.06743573558128</v>
      </c>
      <c r="G43" s="16" t="s">
        <v>612</v>
      </c>
    </row>
  </sheetData>
  <mergeCells count="2">
    <mergeCell ref="A1:G1"/>
    <mergeCell ref="A2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1"/>
  <sheetViews>
    <sheetView showGridLines="0" zoomScaleNormal="100" workbookViewId="0"/>
  </sheetViews>
  <sheetFormatPr baseColWidth="10" defaultColWidth="8.6640625" defaultRowHeight="15" customHeight="1" x14ac:dyDescent="0.15"/>
  <cols>
    <col min="1" max="1" width="18" customWidth="1"/>
    <col min="2" max="2" width="10" customWidth="1"/>
    <col min="3" max="3" width="16" customWidth="1"/>
    <col min="4" max="4" width="14" customWidth="1"/>
    <col min="5" max="5" width="12" customWidth="1"/>
    <col min="6" max="6" width="16" customWidth="1"/>
    <col min="7" max="7" width="18" customWidth="1"/>
    <col min="8" max="8" width="16" customWidth="1"/>
    <col min="9" max="9" width="42" customWidth="1"/>
  </cols>
  <sheetData>
    <row r="1" spans="1:9" ht="21.75" customHeight="1" x14ac:dyDescent="0.15">
      <c r="A1" s="58" t="s">
        <v>613</v>
      </c>
      <c r="B1" s="59"/>
      <c r="C1" s="59"/>
      <c r="D1" s="59"/>
      <c r="E1" s="59"/>
      <c r="F1" s="59"/>
      <c r="G1" s="59"/>
      <c r="H1" s="59"/>
      <c r="I1" s="59"/>
    </row>
    <row r="2" spans="1:9" ht="15" customHeight="1" x14ac:dyDescent="0.15">
      <c r="A2" s="60" t="s">
        <v>614</v>
      </c>
      <c r="B2" s="61"/>
      <c r="C2" s="61"/>
      <c r="D2" s="61"/>
      <c r="E2" s="61"/>
      <c r="F2" s="61"/>
      <c r="G2" s="61"/>
      <c r="H2" s="61"/>
      <c r="I2" s="62"/>
    </row>
    <row r="3" spans="1:9" ht="15" customHeight="1" x14ac:dyDescent="0.15">
      <c r="A3" s="63"/>
      <c r="B3" s="64"/>
      <c r="C3" s="64"/>
      <c r="D3" s="64"/>
      <c r="E3" s="64"/>
      <c r="F3" s="64"/>
      <c r="G3" s="64"/>
      <c r="H3" s="64"/>
      <c r="I3" s="65"/>
    </row>
    <row r="4" spans="1:9" ht="13" x14ac:dyDescent="0.15"/>
    <row r="5" spans="1:9" ht="19.5" customHeight="1" x14ac:dyDescent="0.15">
      <c r="A5" s="3" t="s">
        <v>615</v>
      </c>
      <c r="B5" s="3" t="s">
        <v>616</v>
      </c>
      <c r="C5" s="3" t="s">
        <v>617</v>
      </c>
      <c r="D5" s="3" t="s">
        <v>618</v>
      </c>
      <c r="E5" s="3" t="s">
        <v>50</v>
      </c>
      <c r="F5" s="3" t="s">
        <v>619</v>
      </c>
      <c r="G5" s="3" t="s">
        <v>620</v>
      </c>
      <c r="H5" s="3" t="s">
        <v>465</v>
      </c>
      <c r="I5" s="3" t="s">
        <v>621</v>
      </c>
    </row>
    <row r="6" spans="1:9" ht="28.25" customHeight="1" x14ac:dyDescent="0.15">
      <c r="A6" s="4" t="s">
        <v>259</v>
      </c>
      <c r="B6" s="15" t="s">
        <v>622</v>
      </c>
      <c r="C6" s="20">
        <v>93.04</v>
      </c>
      <c r="D6" s="20">
        <v>110</v>
      </c>
      <c r="E6" s="4" t="s">
        <v>86</v>
      </c>
      <c r="F6" s="28">
        <v>5</v>
      </c>
      <c r="G6" s="28">
        <v>3</v>
      </c>
      <c r="H6" s="6" t="str">
        <f t="shared" ref="H6:H11" si="0">IF(AND(IF(B6="&gt;",C6&gt;D6,C6&lt;D6),F6&gt;=G6),"TRIGGERED","Monitor")</f>
        <v>Monitor</v>
      </c>
      <c r="I6" s="16" t="s">
        <v>623</v>
      </c>
    </row>
    <row r="7" spans="1:9" ht="15" customHeight="1" x14ac:dyDescent="0.15">
      <c r="A7" s="4" t="s">
        <v>246</v>
      </c>
      <c r="B7" s="15" t="s">
        <v>622</v>
      </c>
      <c r="C7" s="41">
        <v>15.71</v>
      </c>
      <c r="D7" s="41">
        <v>20</v>
      </c>
      <c r="E7" s="4" t="s">
        <v>181</v>
      </c>
      <c r="F7" s="28">
        <v>6</v>
      </c>
      <c r="G7" s="28">
        <v>5</v>
      </c>
      <c r="H7" s="6" t="str">
        <f t="shared" si="0"/>
        <v>Monitor</v>
      </c>
      <c r="I7" s="16" t="s">
        <v>624</v>
      </c>
    </row>
    <row r="8" spans="1:9" ht="15" customHeight="1" x14ac:dyDescent="0.15">
      <c r="A8" s="4" t="s">
        <v>198</v>
      </c>
      <c r="B8" s="15" t="s">
        <v>622</v>
      </c>
      <c r="C8" s="41">
        <v>59.05</v>
      </c>
      <c r="D8" s="41">
        <v>58</v>
      </c>
      <c r="E8" s="4" t="s">
        <v>197</v>
      </c>
      <c r="F8" s="28">
        <v>4</v>
      </c>
      <c r="G8" s="28">
        <v>3</v>
      </c>
      <c r="H8" s="6" t="str">
        <f t="shared" si="0"/>
        <v>TRIGGERED</v>
      </c>
      <c r="I8" s="16" t="s">
        <v>625</v>
      </c>
    </row>
    <row r="9" spans="1:9" ht="15" customHeight="1" x14ac:dyDescent="0.15">
      <c r="A9" s="4" t="s">
        <v>626</v>
      </c>
      <c r="B9" s="15" t="s">
        <v>622</v>
      </c>
      <c r="C9" s="40">
        <v>9500</v>
      </c>
      <c r="D9" s="40">
        <v>9000</v>
      </c>
      <c r="E9" s="4" t="s">
        <v>152</v>
      </c>
      <c r="F9" s="28">
        <v>3</v>
      </c>
      <c r="G9" s="28">
        <v>2</v>
      </c>
      <c r="H9" s="6" t="str">
        <f t="shared" si="0"/>
        <v>TRIGGERED</v>
      </c>
      <c r="I9" s="16" t="s">
        <v>627</v>
      </c>
    </row>
    <row r="10" spans="1:9" ht="15" customHeight="1" x14ac:dyDescent="0.15">
      <c r="A10" s="4" t="s">
        <v>628</v>
      </c>
      <c r="B10" s="15" t="s">
        <v>629</v>
      </c>
      <c r="C10" s="24">
        <v>0.75</v>
      </c>
      <c r="D10" s="24">
        <v>0.8</v>
      </c>
      <c r="E10" s="4" t="s">
        <v>204</v>
      </c>
      <c r="F10" s="28">
        <v>7</v>
      </c>
      <c r="G10" s="28">
        <v>5</v>
      </c>
      <c r="H10" s="6" t="str">
        <f t="shared" si="0"/>
        <v>TRIGGERED</v>
      </c>
      <c r="I10" s="16" t="s">
        <v>630</v>
      </c>
    </row>
    <row r="11" spans="1:9" ht="15" customHeight="1" x14ac:dyDescent="0.15">
      <c r="A11" s="4" t="s">
        <v>631</v>
      </c>
      <c r="B11" s="15" t="s">
        <v>622</v>
      </c>
      <c r="C11" s="28">
        <v>10</v>
      </c>
      <c r="D11" s="28">
        <v>7</v>
      </c>
      <c r="E11" s="4" t="s">
        <v>174</v>
      </c>
      <c r="F11" s="28">
        <v>4</v>
      </c>
      <c r="G11" s="28">
        <v>2</v>
      </c>
      <c r="H11" s="6" t="str">
        <f t="shared" si="0"/>
        <v>TRIGGERED</v>
      </c>
      <c r="I11" s="16" t="s">
        <v>632</v>
      </c>
    </row>
  </sheetData>
  <mergeCells count="2">
    <mergeCell ref="A1:I1"/>
    <mergeCell ref="A2:I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6"/>
  <sheetViews>
    <sheetView showGridLines="0" zoomScaleNormal="100" workbookViewId="0">
      <selection sqref="A1:G1"/>
    </sheetView>
  </sheetViews>
  <sheetFormatPr baseColWidth="10" defaultColWidth="8.6640625" defaultRowHeight="15" customHeight="1" x14ac:dyDescent="0.15"/>
  <cols>
    <col min="1" max="1" width="26" customWidth="1"/>
    <col min="2" max="6" width="16" customWidth="1"/>
    <col min="7" max="7" width="28" customWidth="1"/>
  </cols>
  <sheetData>
    <row r="1" spans="1:7" ht="21.75" customHeight="1" x14ac:dyDescent="0.15">
      <c r="A1" s="58" t="s">
        <v>633</v>
      </c>
      <c r="B1" s="59"/>
      <c r="C1" s="59"/>
      <c r="D1" s="59"/>
      <c r="E1" s="59"/>
      <c r="F1" s="59"/>
      <c r="G1" s="59"/>
    </row>
    <row r="2" spans="1:7" ht="15" customHeight="1" x14ac:dyDescent="0.15">
      <c r="A2" s="76" t="s">
        <v>634</v>
      </c>
      <c r="B2" s="61"/>
      <c r="C2" s="61"/>
      <c r="D2" s="61"/>
      <c r="E2" s="61"/>
      <c r="F2" s="61"/>
      <c r="G2" s="62"/>
    </row>
    <row r="3" spans="1:7" ht="15" customHeight="1" x14ac:dyDescent="0.15">
      <c r="A3" s="63"/>
      <c r="B3" s="64"/>
      <c r="C3" s="64"/>
      <c r="D3" s="64"/>
      <c r="E3" s="64"/>
      <c r="F3" s="64"/>
      <c r="G3" s="65"/>
    </row>
    <row r="4" spans="1:7" ht="13" x14ac:dyDescent="0.15"/>
    <row r="5" spans="1:7" ht="21.75" customHeight="1" x14ac:dyDescent="0.15">
      <c r="A5" s="58" t="s">
        <v>635</v>
      </c>
      <c r="B5" s="59"/>
      <c r="C5" s="59"/>
      <c r="D5" s="59"/>
      <c r="E5" s="59"/>
      <c r="F5" s="59"/>
      <c r="G5" s="59"/>
    </row>
    <row r="6" spans="1:7" ht="19.5" customHeight="1" x14ac:dyDescent="0.15">
      <c r="A6" s="3" t="s">
        <v>166</v>
      </c>
      <c r="B6" s="3" t="s">
        <v>50</v>
      </c>
      <c r="C6" s="3" t="s">
        <v>167</v>
      </c>
      <c r="D6" s="3" t="s">
        <v>168</v>
      </c>
      <c r="E6" s="3" t="s">
        <v>169</v>
      </c>
      <c r="F6" s="3" t="s">
        <v>170</v>
      </c>
      <c r="G6" s="3" t="s">
        <v>172</v>
      </c>
    </row>
    <row r="7" spans="1:7" ht="28.25" customHeight="1" x14ac:dyDescent="0.15">
      <c r="A7" s="30" t="s">
        <v>173</v>
      </c>
      <c r="B7" s="4" t="s">
        <v>174</v>
      </c>
      <c r="C7" s="52">
        <f>'03_Scenarios'!C7</f>
        <v>0</v>
      </c>
      <c r="D7" s="52">
        <f>'03_Scenarios'!D7</f>
        <v>30</v>
      </c>
      <c r="E7" s="52">
        <f>'03_Scenarios'!E7</f>
        <v>120</v>
      </c>
      <c r="F7" s="52">
        <f>'03_Scenarios'!F7</f>
        <v>180</v>
      </c>
      <c r="G7" s="16" t="s">
        <v>636</v>
      </c>
    </row>
    <row r="8" spans="1:7" ht="28.25" customHeight="1" x14ac:dyDescent="0.15">
      <c r="A8" s="30" t="s">
        <v>177</v>
      </c>
      <c r="B8" s="4" t="s">
        <v>86</v>
      </c>
      <c r="C8" s="53">
        <f>'03_Scenarios'!C8</f>
        <v>72.48</v>
      </c>
      <c r="D8" s="53">
        <f>'03_Scenarios'!D8</f>
        <v>80</v>
      </c>
      <c r="E8" s="53">
        <f>'03_Scenarios'!E8</f>
        <v>95</v>
      </c>
      <c r="F8" s="53">
        <f>'03_Scenarios'!F8</f>
        <v>135</v>
      </c>
      <c r="G8" s="16" t="s">
        <v>636</v>
      </c>
    </row>
    <row r="9" spans="1:7" ht="28.25" customHeight="1" x14ac:dyDescent="0.15">
      <c r="A9" s="30" t="s">
        <v>180</v>
      </c>
      <c r="B9" s="4" t="s">
        <v>181</v>
      </c>
      <c r="C9" s="53">
        <f>'03_Scenarios'!C9</f>
        <v>10.725</v>
      </c>
      <c r="D9" s="53">
        <f>'03_Scenarios'!D9</f>
        <v>12.33375</v>
      </c>
      <c r="E9" s="53">
        <f>'03_Scenarios'!E9</f>
        <v>15.55125</v>
      </c>
      <c r="F9" s="53">
        <f>'03_Scenarios'!F9</f>
        <v>23.05875</v>
      </c>
      <c r="G9" s="16" t="s">
        <v>636</v>
      </c>
    </row>
    <row r="10" spans="1:7" ht="28.25" customHeight="1" x14ac:dyDescent="0.15">
      <c r="A10" s="30" t="s">
        <v>184</v>
      </c>
      <c r="B10" s="4" t="s">
        <v>185</v>
      </c>
      <c r="C10" s="53">
        <f>'03_Scenarios'!C10</f>
        <v>115.8</v>
      </c>
      <c r="D10" s="53">
        <f>'03_Scenarios'!D10</f>
        <v>124.485</v>
      </c>
      <c r="E10" s="53">
        <f>'03_Scenarios'!E10</f>
        <v>141.85499999999999</v>
      </c>
      <c r="F10" s="53">
        <f>'03_Scenarios'!F10</f>
        <v>167.91</v>
      </c>
      <c r="G10" s="16" t="s">
        <v>636</v>
      </c>
    </row>
    <row r="11" spans="1:7" ht="28.25" customHeight="1" x14ac:dyDescent="0.15">
      <c r="A11" s="30" t="s">
        <v>196</v>
      </c>
      <c r="B11" s="4" t="s">
        <v>197</v>
      </c>
      <c r="C11" s="54">
        <f>'03_Scenarios'!C14</f>
        <v>57.741</v>
      </c>
      <c r="D11" s="54">
        <f>'03_Scenarios'!D14</f>
        <v>58.896000000000001</v>
      </c>
      <c r="E11" s="54">
        <f>'03_Scenarios'!E14</f>
        <v>60.34</v>
      </c>
      <c r="F11" s="54">
        <f>'03_Scenarios'!F14</f>
        <v>62.36</v>
      </c>
      <c r="G11" s="16" t="s">
        <v>636</v>
      </c>
    </row>
    <row r="12" spans="1:7" ht="28.25" customHeight="1" x14ac:dyDescent="0.15">
      <c r="A12" s="30" t="s">
        <v>187</v>
      </c>
      <c r="B12" s="4" t="s">
        <v>185</v>
      </c>
      <c r="C12" s="53">
        <f>'03_Scenarios'!C11</f>
        <v>10</v>
      </c>
      <c r="D12" s="53">
        <f>'03_Scenarios'!D11</f>
        <v>11.5</v>
      </c>
      <c r="E12" s="53">
        <f>'03_Scenarios'!E11</f>
        <v>14.5</v>
      </c>
      <c r="F12" s="53">
        <f>'03_Scenarios'!F11</f>
        <v>19.5</v>
      </c>
      <c r="G12" s="16" t="s">
        <v>636</v>
      </c>
    </row>
    <row r="13" spans="1:7" ht="41.75" customHeight="1" x14ac:dyDescent="0.15">
      <c r="A13" s="30" t="s">
        <v>200</v>
      </c>
      <c r="B13" s="4" t="s">
        <v>181</v>
      </c>
      <c r="C13" s="53">
        <f>'03_Scenarios'!C15</f>
        <v>0</v>
      </c>
      <c r="D13" s="53">
        <f>'03_Scenarios'!D15</f>
        <v>0.5</v>
      </c>
      <c r="E13" s="53">
        <f>'03_Scenarios'!E15</f>
        <v>2</v>
      </c>
      <c r="F13" s="53">
        <f>'03_Scenarios'!F15</f>
        <v>5</v>
      </c>
      <c r="G13" s="16" t="s">
        <v>637</v>
      </c>
    </row>
    <row r="14" spans="1:7" ht="41.75" customHeight="1" x14ac:dyDescent="0.15">
      <c r="A14" s="30" t="s">
        <v>203</v>
      </c>
      <c r="B14" s="4" t="s">
        <v>204</v>
      </c>
      <c r="C14" s="55">
        <f>'03_Scenarios'!C16</f>
        <v>1</v>
      </c>
      <c r="D14" s="55">
        <f>'03_Scenarios'!D16</f>
        <v>0.97</v>
      </c>
      <c r="E14" s="55">
        <f>'03_Scenarios'!E16</f>
        <v>0.85</v>
      </c>
      <c r="F14" s="55">
        <f>'03_Scenarios'!F16</f>
        <v>0.7</v>
      </c>
      <c r="G14" s="16" t="s">
        <v>638</v>
      </c>
    </row>
    <row r="15" spans="1:7" ht="28.25" customHeight="1" x14ac:dyDescent="0.15">
      <c r="A15" s="30" t="s">
        <v>207</v>
      </c>
      <c r="B15" s="4" t="s">
        <v>174</v>
      </c>
      <c r="C15" s="52">
        <f>'03_Scenarios'!C17</f>
        <v>0</v>
      </c>
      <c r="D15" s="52">
        <f>'03_Scenarios'!D17</f>
        <v>5</v>
      </c>
      <c r="E15" s="52">
        <f>'03_Scenarios'!E17</f>
        <v>14</v>
      </c>
      <c r="F15" s="52">
        <f>'03_Scenarios'!F17</f>
        <v>28</v>
      </c>
      <c r="G15" s="16" t="s">
        <v>636</v>
      </c>
    </row>
    <row r="16" spans="1:7" ht="13" x14ac:dyDescent="0.15"/>
    <row r="17" spans="1:7" ht="13" x14ac:dyDescent="0.15"/>
    <row r="18" spans="1:7" ht="21.75" customHeight="1" x14ac:dyDescent="0.15">
      <c r="A18" s="58" t="s">
        <v>639</v>
      </c>
      <c r="B18" s="59"/>
      <c r="C18" s="59"/>
      <c r="D18" s="59"/>
      <c r="E18" s="59"/>
      <c r="F18" s="59"/>
      <c r="G18" s="59"/>
    </row>
    <row r="19" spans="1:7" ht="19.5" customHeight="1" x14ac:dyDescent="0.15">
      <c r="A19" s="3" t="s">
        <v>220</v>
      </c>
      <c r="B19" s="3" t="s">
        <v>50</v>
      </c>
      <c r="C19" s="3" t="s">
        <v>167</v>
      </c>
      <c r="D19" s="3" t="s">
        <v>168</v>
      </c>
      <c r="E19" s="3" t="s">
        <v>169</v>
      </c>
      <c r="F19" s="3" t="s">
        <v>170</v>
      </c>
      <c r="G19" s="3" t="s">
        <v>640</v>
      </c>
    </row>
    <row r="20" spans="1:7" ht="15" customHeight="1" x14ac:dyDescent="0.15">
      <c r="A20" s="30" t="s">
        <v>328</v>
      </c>
      <c r="B20" s="4" t="s">
        <v>152</v>
      </c>
      <c r="C20" s="54">
        <f>'12_PlantSRMC'!C12</f>
        <v>3445.0581501044098</v>
      </c>
      <c r="D20" s="54">
        <f>'12_PlantSRMC'!D12</f>
        <v>3790.0462940670682</v>
      </c>
      <c r="E20" s="54">
        <f>'12_PlantSRMC'!E12</f>
        <v>4452.9419317856118</v>
      </c>
      <c r="F20" s="54">
        <f>'12_PlantSRMC'!F12</f>
        <v>5527.6237317282894</v>
      </c>
      <c r="G20" s="4" t="s">
        <v>641</v>
      </c>
    </row>
    <row r="21" spans="1:7" ht="15" customHeight="1" x14ac:dyDescent="0.15">
      <c r="A21" s="30" t="s">
        <v>335</v>
      </c>
      <c r="B21" s="4" t="s">
        <v>152</v>
      </c>
      <c r="C21" s="54">
        <f>'12_PlantSRMC'!C21</f>
        <v>4760.7252885154912</v>
      </c>
      <c r="D21" s="54">
        <f>'12_PlantSRMC'!D21</f>
        <v>5740.1013481748842</v>
      </c>
      <c r="E21" s="54">
        <f>'12_PlantSRMC'!E21</f>
        <v>7983.6925622905346</v>
      </c>
      <c r="F21" s="54">
        <f>'12_PlantSRMC'!F21</f>
        <v>13014.425357516569</v>
      </c>
      <c r="G21" s="4" t="s">
        <v>642</v>
      </c>
    </row>
    <row r="22" spans="1:7" ht="15" customHeight="1" x14ac:dyDescent="0.15">
      <c r="A22" s="30" t="s">
        <v>339</v>
      </c>
      <c r="B22" s="4" t="s">
        <v>152</v>
      </c>
      <c r="C22" s="54">
        <f>'12_PlantSRMC'!C28</f>
        <v>9892.8436758620683</v>
      </c>
      <c r="D22" s="54">
        <f>'12_PlantSRMC'!D28</f>
        <v>10959.889655172416</v>
      </c>
      <c r="E22" s="54">
        <f>'12_PlantSRMC'!E28</f>
        <v>13012.163793103451</v>
      </c>
      <c r="F22" s="54">
        <f>'12_PlantSRMC'!F28</f>
        <v>18378.500000000004</v>
      </c>
      <c r="G22" s="4" t="s">
        <v>643</v>
      </c>
    </row>
    <row r="23" spans="1:7" ht="15" customHeight="1" x14ac:dyDescent="0.15">
      <c r="A23" s="30" t="s">
        <v>377</v>
      </c>
      <c r="B23" s="4" t="s">
        <v>152</v>
      </c>
      <c r="C23" s="54">
        <f>'13_MeritOrder_WESM'!C16</f>
        <v>4538.2780544973875</v>
      </c>
      <c r="D23" s="54">
        <f>'13_MeritOrder_WESM'!D16</f>
        <v>5446.3888065820056</v>
      </c>
      <c r="E23" s="54">
        <f>'13_MeritOrder_WESM'!E16</f>
        <v>8870.2828424746695</v>
      </c>
      <c r="F23" s="54">
        <f>'13_MeritOrder_WESM'!F16</f>
        <v>13638.819997639201</v>
      </c>
      <c r="G23" s="4" t="s">
        <v>644</v>
      </c>
    </row>
    <row r="24" spans="1:7" ht="15" customHeight="1" x14ac:dyDescent="0.15">
      <c r="A24" s="30" t="s">
        <v>402</v>
      </c>
      <c r="B24" s="4" t="s">
        <v>403</v>
      </c>
      <c r="C24" s="54">
        <f>'14_ReservePricing'!C7</f>
        <v>1134.5695136243469</v>
      </c>
      <c r="D24" s="54">
        <f>'14_ReservePricing'!D7</f>
        <v>1524.9888658429618</v>
      </c>
      <c r="E24" s="54">
        <f>'14_ReservePricing'!E7</f>
        <v>3104.598994866134</v>
      </c>
      <c r="F24" s="54">
        <f>'14_ReservePricing'!F7</f>
        <v>6137.4689989376402</v>
      </c>
      <c r="G24" s="4" t="s">
        <v>645</v>
      </c>
    </row>
    <row r="25" spans="1:7" ht="15" customHeight="1" x14ac:dyDescent="0.15">
      <c r="A25" s="30" t="s">
        <v>646</v>
      </c>
      <c r="B25" s="4" t="s">
        <v>406</v>
      </c>
      <c r="C25" s="54">
        <f>'15_GenMargin'!C20</f>
        <v>712.82494403812893</v>
      </c>
      <c r="D25" s="54">
        <f>'15_GenMargin'!D20</f>
        <v>1067.9776458659987</v>
      </c>
      <c r="E25" s="54">
        <f>'15_GenMargin'!E20</f>
        <v>3239.0296766099086</v>
      </c>
      <c r="F25" s="54">
        <f>'15_GenMargin'!F20</f>
        <v>5691.1070979053129</v>
      </c>
      <c r="G25" s="4" t="s">
        <v>647</v>
      </c>
    </row>
    <row r="26" spans="1:7" ht="13" x14ac:dyDescent="0.15"/>
    <row r="27" spans="1:7" ht="13" x14ac:dyDescent="0.15"/>
    <row r="28" spans="1:7" ht="13" x14ac:dyDescent="0.15"/>
    <row r="29" spans="1:7" ht="21.75" customHeight="1" x14ac:dyDescent="0.15">
      <c r="A29" s="58" t="s">
        <v>648</v>
      </c>
      <c r="B29" s="59"/>
      <c r="C29" s="59"/>
      <c r="D29" s="59"/>
      <c r="E29" s="59"/>
      <c r="F29" s="59"/>
      <c r="G29" s="59"/>
    </row>
    <row r="30" spans="1:7" ht="19.5" customHeight="1" x14ac:dyDescent="0.15">
      <c r="A30" s="3" t="s">
        <v>649</v>
      </c>
      <c r="B30" s="3" t="s">
        <v>50</v>
      </c>
      <c r="C30" s="3" t="s">
        <v>167</v>
      </c>
      <c r="D30" s="3" t="s">
        <v>168</v>
      </c>
      <c r="E30" s="3" t="s">
        <v>169</v>
      </c>
      <c r="F30" s="3" t="s">
        <v>170</v>
      </c>
      <c r="G30" s="3" t="s">
        <v>640</v>
      </c>
    </row>
    <row r="31" spans="1:7" ht="15" customHeight="1" x14ac:dyDescent="0.15">
      <c r="A31" s="30" t="s">
        <v>650</v>
      </c>
      <c r="B31" s="4" t="s">
        <v>406</v>
      </c>
      <c r="C31" s="54">
        <f>'21_SupplyWholesale_Margin'!C7</f>
        <v>378.51658365078373</v>
      </c>
      <c r="D31" s="54">
        <f>'21_SupplyWholesale_Margin'!D7</f>
        <v>106.08335802539831</v>
      </c>
      <c r="E31" s="54">
        <f>'21_SupplyWholesale_Margin'!E7</f>
        <v>-921.08485274240093</v>
      </c>
      <c r="F31" s="54">
        <f>'21_SupplyWholesale_Margin'!F7</f>
        <v>-2351.6459992917598</v>
      </c>
      <c r="G31" s="4" t="s">
        <v>651</v>
      </c>
    </row>
    <row r="32" spans="1:7" ht="15" customHeight="1" x14ac:dyDescent="0.15">
      <c r="A32" s="30" t="s">
        <v>652</v>
      </c>
      <c r="B32" s="4" t="s">
        <v>406</v>
      </c>
      <c r="C32" s="54">
        <f>'21_SupplyWholesale_Margin'!C8</f>
        <v>82.012058544613936</v>
      </c>
      <c r="D32" s="54">
        <f>'21_SupplyWholesale_Margin'!D8</f>
        <v>123.96602532173146</v>
      </c>
      <c r="E32" s="54">
        <f>'21_SupplyWholesale_Margin'!E8</f>
        <v>385.47496585832516</v>
      </c>
      <c r="F32" s="54">
        <f>'21_SupplyWholesale_Margin'!F8</f>
        <v>673.02920599480387</v>
      </c>
      <c r="G32" s="4" t="s">
        <v>653</v>
      </c>
    </row>
    <row r="33" spans="1:7" ht="15" customHeight="1" x14ac:dyDescent="0.15">
      <c r="A33" s="30" t="s">
        <v>654</v>
      </c>
      <c r="B33" s="4" t="s">
        <v>406</v>
      </c>
      <c r="C33" s="54">
        <f>'31_Retail_EBIT'!C6</f>
        <v>612.43048637565312</v>
      </c>
      <c r="D33" s="54">
        <f>'31_Retail_EBIT'!D6</f>
        <v>424.78726203574598</v>
      </c>
      <c r="E33" s="54">
        <f>'31_Retail_EBIT'!E6</f>
        <v>-252.43653275370369</v>
      </c>
      <c r="F33" s="54">
        <f>'31_Retail_EBIT'!F6</f>
        <v>-1147.9536592448067</v>
      </c>
      <c r="G33" s="4" t="s">
        <v>655</v>
      </c>
    </row>
    <row r="34" spans="1:7" ht="15" customHeight="1" x14ac:dyDescent="0.15">
      <c r="A34" s="30" t="s">
        <v>489</v>
      </c>
      <c r="B34" s="4" t="s">
        <v>406</v>
      </c>
      <c r="C34" s="54">
        <f>'31_Retail_EBIT'!C9</f>
        <v>1259.522909170882</v>
      </c>
      <c r="D34" s="54">
        <f>'31_Retail_EBIT'!D9</f>
        <v>966.90613330578628</v>
      </c>
      <c r="E34" s="54">
        <f>'31_Retail_EBIT'!E9</f>
        <v>-93.649036800128201</v>
      </c>
      <c r="F34" s="54">
        <f>'31_Retail_EBIT'!F9</f>
        <v>-1508.3496910000672</v>
      </c>
      <c r="G34" s="4" t="s">
        <v>656</v>
      </c>
    </row>
    <row r="35" spans="1:7" ht="15" customHeight="1" x14ac:dyDescent="0.15">
      <c r="A35" s="30" t="s">
        <v>657</v>
      </c>
      <c r="B35" s="4" t="s">
        <v>406</v>
      </c>
      <c r="C35" s="54">
        <f>'21_SupplyWholesale_Margin'!C12</f>
        <v>451.38030056047603</v>
      </c>
      <c r="D35" s="54">
        <f>'21_SupplyWholesale_Margin'!D12</f>
        <v>275.38768683728523</v>
      </c>
      <c r="E35" s="54">
        <f>'21_SupplyWholesale_Margin'!E12</f>
        <v>-284.83794124036046</v>
      </c>
      <c r="F35" s="54">
        <f>'21_SupplyWholesale_Margin'!F12</f>
        <v>-1141.7326183433693</v>
      </c>
      <c r="G35" s="4" t="s">
        <v>658</v>
      </c>
    </row>
    <row r="36" spans="1:7" ht="13" x14ac:dyDescent="0.15"/>
    <row r="37" spans="1:7" ht="13" x14ac:dyDescent="0.15"/>
    <row r="38" spans="1:7" ht="13" x14ac:dyDescent="0.15"/>
    <row r="39" spans="1:7" ht="21.75" customHeight="1" x14ac:dyDescent="0.15">
      <c r="A39" s="58" t="s">
        <v>659</v>
      </c>
      <c r="B39" s="59"/>
      <c r="C39" s="59"/>
      <c r="D39" s="59"/>
      <c r="E39" s="59"/>
      <c r="F39" s="59"/>
      <c r="G39" s="59"/>
    </row>
    <row r="40" spans="1:7" ht="19.5" customHeight="1" x14ac:dyDescent="0.15">
      <c r="A40" s="3" t="s">
        <v>220</v>
      </c>
      <c r="B40" s="3" t="s">
        <v>50</v>
      </c>
      <c r="C40" s="3" t="s">
        <v>167</v>
      </c>
      <c r="D40" s="3" t="s">
        <v>221</v>
      </c>
      <c r="E40" s="3" t="s">
        <v>222</v>
      </c>
      <c r="F40" s="3" t="s">
        <v>223</v>
      </c>
      <c r="G40" s="3" t="s">
        <v>640</v>
      </c>
    </row>
    <row r="41" spans="1:7" ht="15" customHeight="1" x14ac:dyDescent="0.15">
      <c r="A41" s="30" t="s">
        <v>567</v>
      </c>
      <c r="B41" s="4" t="s">
        <v>526</v>
      </c>
      <c r="C41" s="54">
        <f>'41_Liquidity_Model'!C16</f>
        <v>418.35566982686566</v>
      </c>
      <c r="D41" s="54">
        <f>'41_Liquidity_Model'!D16</f>
        <v>522.36973024183771</v>
      </c>
      <c r="E41" s="54">
        <f>'41_Liquidity_Model'!E16</f>
        <v>707.80840850707386</v>
      </c>
      <c r="F41" s="54">
        <f>'41_Liquidity_Model'!F16</f>
        <v>1050.4696458551332</v>
      </c>
      <c r="G41" s="4" t="s">
        <v>660</v>
      </c>
    </row>
    <row r="42" spans="1:7" ht="15" customHeight="1" x14ac:dyDescent="0.15">
      <c r="A42" s="30" t="s">
        <v>570</v>
      </c>
      <c r="B42" s="4" t="s">
        <v>526</v>
      </c>
      <c r="C42" s="54">
        <f>'41_Liquidity_Model'!C18</f>
        <v>284.32195177749867</v>
      </c>
      <c r="D42" s="54">
        <f>'41_Liquidity_Model'!D18</f>
        <v>428.56191147448175</v>
      </c>
      <c r="E42" s="54">
        <f>'41_Liquidity_Model'!E18</f>
        <v>731.09623489774583</v>
      </c>
      <c r="F42" s="54">
        <f>'41_Liquidity_Model'!F18</f>
        <v>1383.1814281478898</v>
      </c>
      <c r="G42" s="4" t="s">
        <v>661</v>
      </c>
    </row>
    <row r="43" spans="1:7" ht="15" customHeight="1" x14ac:dyDescent="0.15">
      <c r="A43" s="30" t="s">
        <v>577</v>
      </c>
      <c r="B43" s="4" t="s">
        <v>526</v>
      </c>
      <c r="C43" s="54">
        <f>'41_Liquidity_Model'!C24</f>
        <v>24297.322378395635</v>
      </c>
      <c r="D43" s="54">
        <f>'41_Liquidity_Model'!D24</f>
        <v>23606.347881822225</v>
      </c>
      <c r="E43" s="54">
        <f>'41_Liquidity_Model'!E24</f>
        <v>23185.979798803855</v>
      </c>
      <c r="F43" s="54">
        <f>'41_Liquidity_Model'!F24</f>
        <v>18214.824119626406</v>
      </c>
      <c r="G43" s="4" t="s">
        <v>662</v>
      </c>
    </row>
    <row r="44" spans="1:7" ht="15" customHeight="1" x14ac:dyDescent="0.15">
      <c r="A44" s="30" t="s">
        <v>581</v>
      </c>
      <c r="B44" s="4" t="s">
        <v>526</v>
      </c>
      <c r="C44" s="54">
        <f>'41_Liquidity_Model'!C27</f>
        <v>41000</v>
      </c>
      <c r="D44" s="54">
        <f>'41_Liquidity_Model'!D27</f>
        <v>34873.338860937482</v>
      </c>
      <c r="E44" s="54">
        <f>'41_Liquidity_Model'!E27</f>
        <v>64587.985419196368</v>
      </c>
      <c r="F44" s="54">
        <f>'41_Liquidity_Model'!F27</f>
        <v>74334.018278789037</v>
      </c>
      <c r="G44" s="4" t="s">
        <v>663</v>
      </c>
    </row>
    <row r="45" spans="1:7" ht="15" customHeight="1" x14ac:dyDescent="0.15">
      <c r="A45" s="30" t="s">
        <v>664</v>
      </c>
      <c r="B45" s="4" t="s">
        <v>174</v>
      </c>
      <c r="C45" s="56">
        <f>'41_Liquidity_Model'!C30</f>
        <v>2229.7322378395634</v>
      </c>
      <c r="D45" s="56">
        <f>'41_Liquidity_Model'!D30</f>
        <v>1454.493459787589</v>
      </c>
      <c r="E45" s="56">
        <f>'41_Liquidity_Model'!E30</f>
        <v>4627.867188557384</v>
      </c>
      <c r="F45" s="56">
        <f>'41_Liquidity_Model'!F30</f>
        <v>611.07175454743003</v>
      </c>
      <c r="G45" s="4" t="s">
        <v>665</v>
      </c>
    </row>
    <row r="46" spans="1:7" ht="15" customHeight="1" x14ac:dyDescent="0.15">
      <c r="A46" s="30" t="s">
        <v>609</v>
      </c>
      <c r="B46" s="4" t="s">
        <v>526</v>
      </c>
      <c r="C46" s="54">
        <f>'41_Liquidity_Model'!C42</f>
        <v>0</v>
      </c>
      <c r="D46" s="54">
        <f>'41_Liquidity_Model'!D42</f>
        <v>29.263788701043353</v>
      </c>
      <c r="E46" s="54">
        <f>'41_Liquidity_Model'!E42</f>
        <v>744.94408456025963</v>
      </c>
      <c r="F46" s="54">
        <f>'41_Liquidity_Model'!F42</f>
        <v>5749.2371793893235</v>
      </c>
      <c r="G46" s="4" t="s">
        <v>666</v>
      </c>
    </row>
    <row r="47" spans="1:7" ht="15" customHeight="1" x14ac:dyDescent="0.15">
      <c r="A47" s="30" t="s">
        <v>589</v>
      </c>
      <c r="B47" s="4" t="s">
        <v>204</v>
      </c>
      <c r="C47" s="55">
        <f>'41_Liquidity_Model'!C32</f>
        <v>1</v>
      </c>
      <c r="D47" s="55">
        <f>'41_Liquidity_Model'!D32</f>
        <v>0.9</v>
      </c>
      <c r="E47" s="55">
        <f>'41_Liquidity_Model'!E32</f>
        <v>0.75</v>
      </c>
      <c r="F47" s="55">
        <f>'41_Liquidity_Model'!F32</f>
        <v>0.6</v>
      </c>
      <c r="G47" s="4" t="s">
        <v>667</v>
      </c>
    </row>
    <row r="48" spans="1:7" ht="21.75" customHeight="1" x14ac:dyDescent="0.15">
      <c r="A48" s="30" t="s">
        <v>668</v>
      </c>
      <c r="B48" s="4" t="s">
        <v>526</v>
      </c>
      <c r="C48" s="54">
        <f>'41_Liquidity_Model'!C43</f>
        <v>0</v>
      </c>
      <c r="D48" s="54">
        <f>'41_Liquidity_Model'!D43</f>
        <v>0</v>
      </c>
      <c r="E48" s="54">
        <f>'41_Liquidity_Model'!E43</f>
        <v>40.615107630866376</v>
      </c>
      <c r="F48" s="54">
        <f>'41_Liquidity_Model'!F43</f>
        <v>506.06743573558128</v>
      </c>
      <c r="G48" s="4" t="s">
        <v>669</v>
      </c>
    </row>
    <row r="49" spans="1:7" ht="19.5" customHeight="1" x14ac:dyDescent="0.15">
      <c r="A49" s="58" t="s">
        <v>670</v>
      </c>
      <c r="B49" s="59"/>
      <c r="C49" s="59"/>
      <c r="D49" s="59"/>
      <c r="E49" s="59"/>
      <c r="F49" s="59"/>
      <c r="G49" s="59"/>
    </row>
    <row r="50" spans="1:7" ht="15" customHeight="1" x14ac:dyDescent="0.15">
      <c r="A50" s="3" t="s">
        <v>615</v>
      </c>
      <c r="B50" s="3" t="s">
        <v>671</v>
      </c>
      <c r="C50" s="3" t="s">
        <v>618</v>
      </c>
      <c r="D50" s="3" t="s">
        <v>465</v>
      </c>
      <c r="E50" s="3" t="s">
        <v>621</v>
      </c>
      <c r="F50" s="3" t="s">
        <v>619</v>
      </c>
      <c r="G50" s="3" t="s">
        <v>620</v>
      </c>
    </row>
    <row r="51" spans="1:7" ht="55.25" customHeight="1" x14ac:dyDescent="0.15">
      <c r="A51" s="4" t="str">
        <f>'50_Triggers_Playbook'!A6</f>
        <v>Brent</v>
      </c>
      <c r="B51" s="54">
        <f>'50_Triggers_Playbook'!C6</f>
        <v>93.04</v>
      </c>
      <c r="C51" s="54">
        <f>'50_Triggers_Playbook'!D6</f>
        <v>110</v>
      </c>
      <c r="D51" s="57" t="str">
        <f>'50_Triggers_Playbook'!H6</f>
        <v>Monitor</v>
      </c>
      <c r="E51" s="16" t="str">
        <f>'50_Triggers_Playbook'!I6</f>
        <v>Activate hedging review / revise procurement cover</v>
      </c>
      <c r="F51" s="54">
        <f>'50_Triggers_Playbook'!F6</f>
        <v>5</v>
      </c>
      <c r="G51" s="54">
        <f>'50_Triggers_Playbook'!G6</f>
        <v>3</v>
      </c>
    </row>
    <row r="52" spans="1:7" ht="55.25" customHeight="1" x14ac:dyDescent="0.15">
      <c r="A52" s="4" t="str">
        <f>'50_Triggers_Playbook'!A7</f>
        <v>JKM</v>
      </c>
      <c r="B52" s="54">
        <f>'50_Triggers_Playbook'!C7</f>
        <v>15.71</v>
      </c>
      <c r="C52" s="54">
        <f>'50_Triggers_Playbook'!D7</f>
        <v>20</v>
      </c>
      <c r="D52" s="57" t="str">
        <f>'50_Triggers_Playbook'!H7</f>
        <v>Monitor</v>
      </c>
      <c r="E52" s="16" t="str">
        <f>'50_Triggers_Playbook'!I7</f>
        <v>Review gas dispatch / emergency LNG sourcing</v>
      </c>
      <c r="F52" s="54">
        <f>'50_Triggers_Playbook'!F7</f>
        <v>6</v>
      </c>
      <c r="G52" s="54">
        <f>'50_Triggers_Playbook'!G7</f>
        <v>5</v>
      </c>
    </row>
    <row r="53" spans="1:7" ht="41.75" customHeight="1" x14ac:dyDescent="0.15">
      <c r="A53" s="4" t="str">
        <f>'50_Triggers_Playbook'!A8</f>
        <v>USD/PHP</v>
      </c>
      <c r="B53" s="54">
        <f>'50_Triggers_Playbook'!C8</f>
        <v>59.05</v>
      </c>
      <c r="C53" s="54">
        <f>'50_Triggers_Playbook'!D8</f>
        <v>58</v>
      </c>
      <c r="D53" s="57" t="str">
        <f>'50_Triggers_Playbook'!H8</f>
        <v>TRIGGERED</v>
      </c>
      <c r="E53" s="16" t="str">
        <f>'50_Triggers_Playbook'!I8</f>
        <v>Reassess FX hedging / collateral plan</v>
      </c>
      <c r="F53" s="54">
        <f>'50_Triggers_Playbook'!F8</f>
        <v>4</v>
      </c>
      <c r="G53" s="54">
        <f>'50_Triggers_Playbook'!G8</f>
        <v>3</v>
      </c>
    </row>
    <row r="54" spans="1:7" ht="41.75" customHeight="1" x14ac:dyDescent="0.15">
      <c r="A54" s="4" t="str">
        <f>'50_Triggers_Playbook'!A9</f>
        <v>WESM</v>
      </c>
      <c r="B54" s="54">
        <f>'50_Triggers_Playbook'!C9</f>
        <v>9500</v>
      </c>
      <c r="C54" s="54">
        <f>'50_Triggers_Playbook'!D9</f>
        <v>9000</v>
      </c>
      <c r="D54" s="57" t="str">
        <f>'50_Triggers_Playbook'!H9</f>
        <v>TRIGGERED</v>
      </c>
      <c r="E54" s="16" t="str">
        <f>'50_Triggers_Playbook'!I9</f>
        <v>Retail repricing review / reserve bidding posture</v>
      </c>
      <c r="F54" s="54">
        <f>'50_Triggers_Playbook'!F9</f>
        <v>3</v>
      </c>
      <c r="G54" s="54">
        <f>'50_Triggers_Playbook'!G9</f>
        <v>2</v>
      </c>
    </row>
    <row r="55" spans="1:7" ht="41.75" customHeight="1" x14ac:dyDescent="0.15">
      <c r="A55" s="4" t="str">
        <f>'50_Triggers_Playbook'!A10</f>
        <v>Gas availability</v>
      </c>
      <c r="B55" s="54">
        <f>'50_Triggers_Playbook'!C10</f>
        <v>0.75</v>
      </c>
      <c r="C55" s="54">
        <f>'50_Triggers_Playbook'!D10</f>
        <v>0.8</v>
      </c>
      <c r="D55" s="57" t="str">
        <f>'50_Triggers_Playbook'!H10</f>
        <v>TRIGGERED</v>
      </c>
      <c r="E55" s="16" t="str">
        <f>'50_Triggers_Playbook'!I10</f>
        <v>Activate alternate dispatch / oil backup plan</v>
      </c>
      <c r="F55" s="54">
        <f>'50_Triggers_Playbook'!F10</f>
        <v>7</v>
      </c>
      <c r="G55" s="54">
        <f>'50_Triggers_Playbook'!G10</f>
        <v>5</v>
      </c>
    </row>
    <row r="56" spans="1:7" ht="41.75" customHeight="1" x14ac:dyDescent="0.15">
      <c r="A56" s="4" t="str">
        <f>'50_Triggers_Playbook'!A11</f>
        <v>Coal delay</v>
      </c>
      <c r="B56" s="54">
        <f>'50_Triggers_Playbook'!C11</f>
        <v>10</v>
      </c>
      <c r="C56" s="54">
        <f>'50_Triggers_Playbook'!D11</f>
        <v>7</v>
      </c>
      <c r="D56" s="57" t="str">
        <f>'50_Triggers_Playbook'!H11</f>
        <v>TRIGGERED</v>
      </c>
      <c r="E56" s="16" t="str">
        <f>'50_Triggers_Playbook'!I11</f>
        <v>Increase inventory buffer / alternate logistics</v>
      </c>
      <c r="F56" s="54">
        <f>'50_Triggers_Playbook'!F11</f>
        <v>4</v>
      </c>
      <c r="G56" s="54">
        <f>'50_Triggers_Playbook'!G11</f>
        <v>2</v>
      </c>
    </row>
  </sheetData>
  <mergeCells count="7">
    <mergeCell ref="A49:G49"/>
    <mergeCell ref="A5:G5"/>
    <mergeCell ref="A1:G1"/>
    <mergeCell ref="A18:G18"/>
    <mergeCell ref="A39:G39"/>
    <mergeCell ref="A29:G29"/>
    <mergeCell ref="A2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6"/>
  <sheetViews>
    <sheetView showGridLines="0" zoomScaleNormal="100" workbookViewId="0"/>
  </sheetViews>
  <sheetFormatPr baseColWidth="10" defaultColWidth="8.6640625" defaultRowHeight="15" customHeight="1" x14ac:dyDescent="0.15"/>
  <cols>
    <col min="1" max="1" width="22" customWidth="1"/>
    <col min="2" max="3" width="18" customWidth="1"/>
    <col min="4" max="4" width="14" customWidth="1"/>
    <col min="5" max="5" width="32" customWidth="1"/>
  </cols>
  <sheetData>
    <row r="1" spans="1:5" ht="21.75" customHeight="1" x14ac:dyDescent="0.15">
      <c r="A1" s="58" t="s">
        <v>672</v>
      </c>
      <c r="B1" s="59"/>
      <c r="C1" s="59"/>
      <c r="D1" s="59"/>
      <c r="E1" s="59"/>
    </row>
    <row r="2" spans="1:5" ht="15" customHeight="1" x14ac:dyDescent="0.15">
      <c r="A2" s="72" t="s">
        <v>673</v>
      </c>
      <c r="B2" s="61"/>
      <c r="C2" s="61"/>
      <c r="D2" s="61"/>
      <c r="E2" s="62"/>
    </row>
    <row r="3" spans="1:5" ht="15" customHeight="1" x14ac:dyDescent="0.15">
      <c r="A3" s="63"/>
      <c r="B3" s="64"/>
      <c r="C3" s="64"/>
      <c r="D3" s="64"/>
      <c r="E3" s="65"/>
    </row>
    <row r="4" spans="1:5" ht="13" x14ac:dyDescent="0.15"/>
    <row r="5" spans="1:5" ht="19.5" customHeight="1" x14ac:dyDescent="0.15">
      <c r="A5" s="3" t="s">
        <v>674</v>
      </c>
      <c r="B5" s="3" t="s">
        <v>465</v>
      </c>
      <c r="C5" s="3" t="s">
        <v>675</v>
      </c>
      <c r="D5" s="3" t="s">
        <v>618</v>
      </c>
      <c r="E5" s="3" t="s">
        <v>82</v>
      </c>
    </row>
    <row r="6" spans="1:5" ht="15" customHeight="1" x14ac:dyDescent="0.15">
      <c r="A6" s="4" t="s">
        <v>676</v>
      </c>
      <c r="B6" s="6" t="str">
        <f>IF(COUNTA('03_Scenarios'!C7:F20)=56,"OK","FLAG")</f>
        <v>OK</v>
      </c>
      <c r="C6" s="17">
        <f>COUNTA('03_Scenarios'!C7:F20)</f>
        <v>56</v>
      </c>
      <c r="D6" s="15" t="s">
        <v>677</v>
      </c>
      <c r="E6" s="16" t="s">
        <v>678</v>
      </c>
    </row>
    <row r="7" spans="1:5" ht="15" customHeight="1" x14ac:dyDescent="0.15">
      <c r="A7" s="4" t="s">
        <v>679</v>
      </c>
      <c r="B7" s="6" t="str">
        <f>IF(AND('12_PlantSRMC'!C12&gt;0,'12_PlantSRMC'!D12&gt;0,'12_PlantSRMC'!E12&gt;0,'12_PlantSRMC'!F12&gt;0),"OK","FLAG")</f>
        <v>OK</v>
      </c>
      <c r="C7" s="17">
        <f>MIN('12_PlantSRMC'!C12:F12)</f>
        <v>3445.0581501044098</v>
      </c>
      <c r="D7" s="15" t="s">
        <v>680</v>
      </c>
      <c r="E7" s="16" t="s">
        <v>681</v>
      </c>
    </row>
    <row r="8" spans="1:5" ht="15" customHeight="1" x14ac:dyDescent="0.15">
      <c r="A8" s="4" t="s">
        <v>682</v>
      </c>
      <c r="B8" s="6" t="str">
        <f>IF(AND('03_Scenarios'!C16&gt;=0,'03_Scenarios'!C16&lt;=1,'03_Scenarios'!D16&gt;=0,'03_Scenarios'!D16&lt;=1,'03_Scenarios'!E16&gt;=0,'03_Scenarios'!E16&lt;=1,'03_Scenarios'!F16&gt;=0,'03_Scenarios'!F16&lt;=1),"OK","FLAG")</f>
        <v>OK</v>
      </c>
      <c r="C8" s="17" t="str">
        <f>"See scenario inputs"</f>
        <v>See scenario inputs</v>
      </c>
      <c r="D8" s="15" t="s">
        <v>683</v>
      </c>
      <c r="E8" s="16" t="s">
        <v>684</v>
      </c>
    </row>
    <row r="9" spans="1:5" ht="15" customHeight="1" x14ac:dyDescent="0.15">
      <c r="A9" s="4" t="s">
        <v>685</v>
      </c>
      <c r="B9" s="6" t="str">
        <f>IF(AND('13_MeritOrder_WESM'!C19="OK",'13_MeritOrder_WESM'!D19="OK",'13_MeritOrder_WESM'!E19="OK",'13_MeritOrder_WESM'!F19="OK"),"OK","FLAG")</f>
        <v>OK</v>
      </c>
      <c r="C9" s="17" t="str">
        <f>"See 13_MeritOrder_WESM"</f>
        <v>See 13_MeritOrder_WESM</v>
      </c>
      <c r="D9" s="15" t="s">
        <v>686</v>
      </c>
      <c r="E9" s="16" t="s">
        <v>687</v>
      </c>
    </row>
    <row r="10" spans="1:5" ht="15" customHeight="1" x14ac:dyDescent="0.15">
      <c r="A10" s="4" t="s">
        <v>688</v>
      </c>
      <c r="B10" s="6" t="str">
        <f>IF(AND('22_MarginBridge'!B13&lt;0.01,'22_MarginBridge'!B13&gt;-0.01),"OK","FLAG")</f>
        <v>OK</v>
      </c>
      <c r="C10" s="17">
        <f>'22_MarginBridge'!B13</f>
        <v>0</v>
      </c>
      <c r="D10" s="15" t="s">
        <v>689</v>
      </c>
      <c r="E10" s="16" t="s">
        <v>690</v>
      </c>
    </row>
    <row r="11" spans="1:5" ht="15" customHeight="1" x14ac:dyDescent="0.15">
      <c r="A11" s="4" t="s">
        <v>691</v>
      </c>
      <c r="B11" s="6" t="str">
        <f>IF(AND('22_MarginBridge'!C13&lt;0.01,'22_MarginBridge'!C13&gt;-0.01),"OK","FLAG")</f>
        <v>OK</v>
      </c>
      <c r="C11" s="17">
        <f>'22_MarginBridge'!C13</f>
        <v>0</v>
      </c>
      <c r="D11" s="15" t="s">
        <v>689</v>
      </c>
      <c r="E11" s="16" t="s">
        <v>692</v>
      </c>
    </row>
    <row r="12" spans="1:5" ht="15" customHeight="1" x14ac:dyDescent="0.15">
      <c r="A12" s="4" t="s">
        <v>693</v>
      </c>
      <c r="B12" s="6" t="str">
        <f>IF(AND('22_MarginBridge'!D13&lt;0.01,'22_MarginBridge'!D13&gt;-0.01),"OK","FLAG")</f>
        <v>OK</v>
      </c>
      <c r="C12" s="17">
        <f>'22_MarginBridge'!D13</f>
        <v>0</v>
      </c>
      <c r="D12" s="15" t="s">
        <v>689</v>
      </c>
      <c r="E12" s="16" t="s">
        <v>694</v>
      </c>
    </row>
    <row r="13" spans="1:5" ht="28.25" customHeight="1" x14ac:dyDescent="0.15">
      <c r="A13" s="4" t="s">
        <v>695</v>
      </c>
      <c r="B13" s="6" t="str">
        <f>IF(AND(('31_Retail_EBIT'!C9-SUM('31_Retail_EBIT'!C6:C8))&lt;0.01,('31_Retail_EBIT'!C9-SUM('31_Retail_EBIT'!C6:C8))&gt;-0.01),"OK","FLAG")</f>
        <v>OK</v>
      </c>
      <c r="C13" s="17">
        <f>'31_Retail_EBIT'!C9-SUM('31_Retail_EBIT'!C6:C8)</f>
        <v>0</v>
      </c>
      <c r="D13" s="15" t="s">
        <v>689</v>
      </c>
      <c r="E13" s="16" t="s">
        <v>696</v>
      </c>
    </row>
    <row r="14" spans="1:5" ht="15" customHeight="1" x14ac:dyDescent="0.15">
      <c r="A14" s="4" t="s">
        <v>697</v>
      </c>
      <c r="B14" s="6" t="str">
        <f>IF('41_Liquidity_Model'!C24&gt;='41_Liquidity_Model'!C28,"OK","FLAG")</f>
        <v>OK</v>
      </c>
      <c r="C14" s="17">
        <f>'41_Liquidity_Model'!C24-'41_Liquidity_Model'!C28</f>
        <v>22297.322378395635</v>
      </c>
      <c r="D14" s="15" t="s">
        <v>698</v>
      </c>
      <c r="E14" s="16" t="s">
        <v>699</v>
      </c>
    </row>
    <row r="15" spans="1:5" ht="15" customHeight="1" x14ac:dyDescent="0.15">
      <c r="A15" s="4" t="s">
        <v>700</v>
      </c>
      <c r="B15" s="4" t="str">
        <f>IF(AND('60_Outputs'!C23='13_MeritOrder_WESM'!C16,'60_Outputs'!D23='13_MeritOrder_WESM'!D16,'60_Outputs'!E23='13_MeritOrder_WESM'!E16,'60_Outputs'!F23='13_MeritOrder_WESM'!F16),"OK","FLAG")</f>
        <v>OK</v>
      </c>
      <c r="C15" s="4">
        <f>SUM(ABS('60_Outputs'!C23-'13_MeritOrder_WESM'!C16),ABS('60_Outputs'!D23-'13_MeritOrder_WESM'!D16),ABS('60_Outputs'!E23-'13_MeritOrder_WESM'!E16),ABS('60_Outputs'!F23-'13_MeritOrder_WESM'!F16))</f>
        <v>0</v>
      </c>
      <c r="D15" s="4" t="s">
        <v>701</v>
      </c>
      <c r="E15" s="4" t="s">
        <v>702</v>
      </c>
    </row>
    <row r="16" spans="1:5" ht="15" customHeight="1" x14ac:dyDescent="0.15">
      <c r="A16" s="4" t="s">
        <v>703</v>
      </c>
      <c r="B16" s="4" t="str">
        <f ca="1">IF(AND(COUNTIF(B6:B39,"FLAG")=0,C46=0),"MODEL OK","REVIEW")</f>
        <v>MODEL OK</v>
      </c>
      <c r="C16" s="4" t="str">
        <f ca="1">COUNTIF(B6:B33,"FLAG")</f>
        <v/>
      </c>
      <c r="D16" s="4" t="s">
        <v>704</v>
      </c>
      <c r="E16" s="4" t="s">
        <v>705</v>
      </c>
    </row>
    <row r="17" spans="1:5" ht="13" x14ac:dyDescent="0.15"/>
    <row r="18" spans="1:5" ht="15" customHeight="1" x14ac:dyDescent="0.15">
      <c r="A18" s="58" t="s">
        <v>706</v>
      </c>
      <c r="B18" s="59"/>
      <c r="C18" s="59"/>
      <c r="D18" s="59"/>
      <c r="E18" s="59"/>
    </row>
    <row r="19" spans="1:5" ht="15" customHeight="1" x14ac:dyDescent="0.15">
      <c r="A19" s="3" t="s">
        <v>707</v>
      </c>
      <c r="B19" s="74" t="s">
        <v>708</v>
      </c>
      <c r="C19" s="70"/>
      <c r="D19" s="70"/>
      <c r="E19" s="71"/>
    </row>
    <row r="20" spans="1:5" ht="28.25" customHeight="1" x14ac:dyDescent="0.15">
      <c r="A20" s="3" t="s">
        <v>12</v>
      </c>
      <c r="B20" s="74" t="s">
        <v>709</v>
      </c>
      <c r="C20" s="70"/>
      <c r="D20" s="70"/>
      <c r="E20" s="71"/>
    </row>
    <row r="21" spans="1:5" ht="28.25" customHeight="1" x14ac:dyDescent="0.15">
      <c r="A21" s="3" t="s">
        <v>16</v>
      </c>
      <c r="B21" s="74" t="s">
        <v>710</v>
      </c>
      <c r="C21" s="70"/>
      <c r="D21" s="70"/>
      <c r="E21" s="71"/>
    </row>
    <row r="22" spans="1:5" ht="28.25" customHeight="1" x14ac:dyDescent="0.15">
      <c r="A22" s="3" t="s">
        <v>711</v>
      </c>
      <c r="B22" s="74" t="s">
        <v>712</v>
      </c>
      <c r="C22" s="70"/>
      <c r="D22" s="70"/>
      <c r="E22" s="71"/>
    </row>
    <row r="23" spans="1:5" ht="28.25" customHeight="1" x14ac:dyDescent="0.15">
      <c r="A23" s="3" t="s">
        <v>20</v>
      </c>
      <c r="B23" s="74" t="s">
        <v>713</v>
      </c>
      <c r="C23" s="70"/>
      <c r="D23" s="70"/>
      <c r="E23" s="71"/>
    </row>
    <row r="24" spans="1:5" ht="28.25" customHeight="1" x14ac:dyDescent="0.15">
      <c r="A24" s="3" t="s">
        <v>714</v>
      </c>
      <c r="B24" s="74" t="s">
        <v>715</v>
      </c>
      <c r="C24" s="70"/>
      <c r="D24" s="70"/>
      <c r="E24" s="71"/>
    </row>
    <row r="25" spans="1:5" ht="15" customHeight="1" x14ac:dyDescent="0.15">
      <c r="A25" s="3" t="s">
        <v>36</v>
      </c>
      <c r="B25" s="74" t="s">
        <v>716</v>
      </c>
      <c r="C25" s="70"/>
      <c r="D25" s="70"/>
      <c r="E25" s="71"/>
    </row>
    <row r="26" spans="1:5" ht="28.25" customHeight="1" x14ac:dyDescent="0.15">
      <c r="A26" s="3" t="s">
        <v>42</v>
      </c>
      <c r="B26" s="77" t="s">
        <v>717</v>
      </c>
      <c r="C26" s="70"/>
      <c r="D26" s="70"/>
      <c r="E26" s="70"/>
    </row>
    <row r="27" spans="1:5" ht="28.25" customHeight="1" x14ac:dyDescent="0.15">
      <c r="A27" s="3" t="s">
        <v>718</v>
      </c>
      <c r="B27" s="77" t="s">
        <v>719</v>
      </c>
      <c r="C27" s="70"/>
      <c r="D27" s="70"/>
      <c r="E27" s="70"/>
    </row>
    <row r="28" spans="1:5" ht="28.25" customHeight="1" x14ac:dyDescent="0.15">
      <c r="A28" s="3" t="s">
        <v>44</v>
      </c>
      <c r="B28" s="77" t="s">
        <v>720</v>
      </c>
      <c r="C28" s="70"/>
      <c r="D28" s="70"/>
      <c r="E28" s="70"/>
    </row>
    <row r="29" spans="1:5" ht="96" x14ac:dyDescent="0.15">
      <c r="A29" s="3" t="s">
        <v>721</v>
      </c>
      <c r="B29" s="44" t="s">
        <v>722</v>
      </c>
    </row>
    <row r="30" spans="1:5" ht="112" x14ac:dyDescent="0.15">
      <c r="A30" s="3" t="s">
        <v>24</v>
      </c>
      <c r="B30" s="44" t="s">
        <v>723</v>
      </c>
    </row>
    <row r="31" spans="1:5" ht="15" customHeight="1" x14ac:dyDescent="0.15">
      <c r="A31" t="s">
        <v>724</v>
      </c>
      <c r="B31" t="str">
        <f>IF(AND('60_Outputs'!C46='41_Liquidity_Model'!C42,'60_Outputs'!D46='41_Liquidity_Model'!D42,'60_Outputs'!E46='41_Liquidity_Model'!E42,'60_Outputs'!F46='41_Liquidity_Model'!F42,'60_Outputs'!C47='41_Liquidity_Model'!C32,'60_Outputs'!F48='41_Liquidity_Model'!F43),"OK","FLAG")</f>
        <v>OK</v>
      </c>
      <c r="C31">
        <f>SUM(ABS('60_Outputs'!C46-'41_Liquidity_Model'!C42),ABS('60_Outputs'!D46-'41_Liquidity_Model'!D42),ABS('60_Outputs'!E46-'41_Liquidity_Model'!E42),ABS('60_Outputs'!F46-'41_Liquidity_Model'!F42))</f>
        <v>0</v>
      </c>
      <c r="D31" t="s">
        <v>701</v>
      </c>
      <c r="E31" t="s">
        <v>725</v>
      </c>
    </row>
    <row r="32" spans="1:5" ht="15" customHeight="1" x14ac:dyDescent="0.15">
      <c r="A32" t="s">
        <v>726</v>
      </c>
      <c r="B32" t="str">
        <f>IF(AND(ABS('10_FuelLanding'!C13-'11_Plants'!F5)&lt;0.0001,ABS('12_PlantSRMC'!C18-'10_FuelLanding'!C21)&lt;0.0001,ABS('12_PlantSRMC'!F18-'10_FuelLanding'!F21)&lt;0.0001),"OK","FLAG")</f>
        <v>OK</v>
      </c>
      <c r="C32">
        <f>SUM(ABS('10_FuelLanding'!C13-'11_Plants'!F5),ABS('12_PlantSRMC'!C18-'10_FuelLanding'!C21),ABS('12_PlantSRMC'!F18-'10_FuelLanding'!F21))</f>
        <v>0</v>
      </c>
      <c r="D32" t="s">
        <v>727</v>
      </c>
      <c r="E32" t="s">
        <v>728</v>
      </c>
    </row>
    <row r="33" spans="1:5" ht="15" customHeight="1" x14ac:dyDescent="0.15">
      <c r="A33" t="s">
        <v>729</v>
      </c>
      <c r="B33" t="str">
        <f>IF('13_MeritOrder_WESM'!F11="Oil","OK","FLAG")</f>
        <v>OK</v>
      </c>
      <c r="C33" t="str">
        <f>'13_MeritOrder_WESM'!F11</f>
        <v>Oil</v>
      </c>
      <c r="D33" t="s">
        <v>284</v>
      </c>
      <c r="E33" t="s">
        <v>730</v>
      </c>
    </row>
    <row r="34" spans="1:5" ht="32" x14ac:dyDescent="0.15">
      <c r="A34" s="4" t="s">
        <v>731</v>
      </c>
      <c r="B34" s="6" t="str">
        <f>IF(AND(ABS('02_Inputs_Base'!$L$24-0.16)&lt;=0.01,'02_Inputs_Base'!$L$24&gt;0),"OK","FLAG")</f>
        <v>OK</v>
      </c>
      <c r="C34" s="17">
        <f>'02_Inputs_Base'!$L$24</f>
        <v>0.1615</v>
      </c>
      <c r="D34" s="15" t="s">
        <v>732</v>
      </c>
      <c r="E34" s="16" t="s">
        <v>733</v>
      </c>
    </row>
    <row r="35" spans="1:5" ht="32" x14ac:dyDescent="0.15">
      <c r="A35" s="4" t="s">
        <v>734</v>
      </c>
      <c r="B35" s="6" t="str">
        <f>IF(AND(ABS('02_Inputs_Base'!$L$25-0.3)&lt;=0.02,'02_Inputs_Base'!$L$25&gt;0),"OK","FLAG")</f>
        <v>OK</v>
      </c>
      <c r="C35" s="17">
        <f>'02_Inputs_Base'!$L$25</f>
        <v>0.29924999999999996</v>
      </c>
      <c r="D35" s="15" t="s">
        <v>735</v>
      </c>
      <c r="E35" s="16" t="s">
        <v>736</v>
      </c>
    </row>
    <row r="36" spans="1:5" ht="16" x14ac:dyDescent="0.15">
      <c r="A36" s="4" t="s">
        <v>737</v>
      </c>
      <c r="B36" s="6" t="str">
        <f>IF(AND('60_Outputs'!C23&gt;=3500,'60_Outputs'!C23&lt;=5500),"OK","FLAG")</f>
        <v>OK</v>
      </c>
      <c r="C36" s="17">
        <f>'60_Outputs'!C23</f>
        <v>4538.2780544973875</v>
      </c>
      <c r="D36" s="15" t="s">
        <v>738</v>
      </c>
      <c r="E36" s="16" t="s">
        <v>739</v>
      </c>
    </row>
    <row r="37" spans="1:5" ht="32" x14ac:dyDescent="0.15">
      <c r="A37" s="4" t="s">
        <v>740</v>
      </c>
      <c r="B37" s="6" t="str">
        <f>IF('02_Inputs_Base'!$I$36=0,"OK",IF('60_Outputs'!F23&lt;='02_Inputs_Base'!$I$37,"OK","FLAG"))</f>
        <v>OK</v>
      </c>
      <c r="C37" s="17">
        <f>'02_Inputs_Base'!$I$36</f>
        <v>0</v>
      </c>
      <c r="D37" s="15" t="s">
        <v>741</v>
      </c>
      <c r="E37" s="16" t="s">
        <v>742</v>
      </c>
    </row>
    <row r="38" spans="1:5" ht="32" x14ac:dyDescent="0.15">
      <c r="A38" s="4" t="s">
        <v>743</v>
      </c>
      <c r="B38" s="6" t="str">
        <f>IF(AND('02_Inputs_Base'!$L$33&gt;0,'02_Inputs_Base'!$L$33&lt;=1),"OK","FLAG")</f>
        <v>OK</v>
      </c>
      <c r="C38" s="17">
        <f>'02_Inputs_Base'!$L$33</f>
        <v>0.69083008082975306</v>
      </c>
      <c r="D38" s="15" t="s">
        <v>744</v>
      </c>
      <c r="E38" s="16" t="s">
        <v>745</v>
      </c>
    </row>
    <row r="39" spans="1:5" ht="32" x14ac:dyDescent="0.15">
      <c r="A39" s="4" t="s">
        <v>746</v>
      </c>
      <c r="B39" s="6" t="str">
        <f ca="1">IF(C46=0,"OK","FLAG")</f>
        <v>OK</v>
      </c>
      <c r="C39" s="17">
        <f ca="1">C46</f>
        <v>0</v>
      </c>
      <c r="D39" s="15" t="s">
        <v>701</v>
      </c>
      <c r="E39" s="16" t="s">
        <v>747</v>
      </c>
    </row>
    <row r="40" spans="1:5" ht="13" x14ac:dyDescent="0.15"/>
    <row r="41" spans="1:5" ht="16" x14ac:dyDescent="0.15">
      <c r="A41" s="1" t="s">
        <v>748</v>
      </c>
    </row>
    <row r="42" spans="1:5" x14ac:dyDescent="0.15">
      <c r="A42" s="3" t="s">
        <v>8</v>
      </c>
      <c r="B42" s="3" t="s">
        <v>749</v>
      </c>
      <c r="C42" s="3" t="s">
        <v>750</v>
      </c>
      <c r="D42" s="3" t="s">
        <v>465</v>
      </c>
      <c r="E42" s="3" t="s">
        <v>82</v>
      </c>
    </row>
    <row r="43" spans="1:5" ht="48" x14ac:dyDescent="0.15">
      <c r="A43" s="4" t="s">
        <v>16</v>
      </c>
      <c r="B43" s="6">
        <v>2</v>
      </c>
      <c r="C43" s="17">
        <f>COUNTIF('10_FuelLanding'!A1:G28,"#N/A")+COUNTIF('10_FuelLanding'!A1:G28,"#DIV/0!")+COUNTIF('10_FuelLanding'!A1:G28,"#VALUE!")+COUNTIF('10_FuelLanding'!A1:G28,"#REF!")+COUNTIF('10_FuelLanding'!A1:G28,"#NAME?")</f>
        <v>0</v>
      </c>
      <c r="D43" s="15" t="str">
        <f>IF(C43=0,"OK","FLAG")</f>
        <v>OK</v>
      </c>
      <c r="E43" s="16" t="s">
        <v>751</v>
      </c>
    </row>
    <row r="44" spans="1:5" ht="16" x14ac:dyDescent="0.15">
      <c r="A44" s="4" t="s">
        <v>24</v>
      </c>
      <c r="B44" s="6">
        <v>0</v>
      </c>
      <c r="C44" s="17">
        <f>COUNTIF('13_MeritOrder_WESM'!A1:P71,"#N/A")+COUNTIF('13_MeritOrder_WESM'!A1:P71,"#DIV/0!")+COUNTIF('13_MeritOrder_WESM'!A1:P71,"#VALUE!")+COUNTIF('13_MeritOrder_WESM'!A1:P71,"#REF!")+COUNTIF('13_MeritOrder_WESM'!A1:P71,"#NAME?")</f>
        <v>0</v>
      </c>
      <c r="D44" s="15" t="str">
        <f>IF(C44=0,"OK","FLAG")</f>
        <v>OK</v>
      </c>
      <c r="E44" s="16" t="s">
        <v>752</v>
      </c>
    </row>
    <row r="45" spans="1:5" ht="32" x14ac:dyDescent="0.15">
      <c r="A45" s="4" t="s">
        <v>42</v>
      </c>
      <c r="B45" s="6">
        <v>0</v>
      </c>
      <c r="C45" s="17">
        <f>COUNTIF('60_Outputs'!A1:G56,"#N/A")+COUNTIF('60_Outputs'!A1:G56,"#DIV/0!")+COUNTIF('60_Outputs'!A1:G56,"#VALUE!")+COUNTIF('60_Outputs'!A1:G56,"#REF!")+COUNTIF('60_Outputs'!A1:G56,"#NAME?")</f>
        <v>0</v>
      </c>
      <c r="D45" s="15" t="str">
        <f>IF(C45=0,"OK","FLAG")</f>
        <v>OK</v>
      </c>
      <c r="E45" s="16" t="s">
        <v>753</v>
      </c>
    </row>
    <row r="46" spans="1:5" ht="32" x14ac:dyDescent="0.15">
      <c r="A46" s="4" t="s">
        <v>754</v>
      </c>
      <c r="B46" s="6">
        <v>2</v>
      </c>
      <c r="C46" s="17">
        <f ca="1">C43+C44+C45+(COUNTIF(B6:E46,"#N/A")+COUNTIF(B6:E46,"#DIV/0!")+COUNTIF(B6:E46,"#VALUE!")+COUNTIF(B6:E46,"#REF!")+COUNTIF(B6:E46,"#NAME?"))</f>
        <v>0</v>
      </c>
      <c r="D46" s="15" t="str">
        <f ca="1">IF(C46=0,"OK","FLAG")</f>
        <v>OK</v>
      </c>
      <c r="E46" s="16" t="s">
        <v>755</v>
      </c>
    </row>
  </sheetData>
  <mergeCells count="13">
    <mergeCell ref="B28:E28"/>
    <mergeCell ref="A18:E18"/>
    <mergeCell ref="B22:E22"/>
    <mergeCell ref="A1:E1"/>
    <mergeCell ref="B25:E25"/>
    <mergeCell ref="B24:E24"/>
    <mergeCell ref="B19:E19"/>
    <mergeCell ref="B20:E20"/>
    <mergeCell ref="B26:E26"/>
    <mergeCell ref="B23:E23"/>
    <mergeCell ref="B27:E27"/>
    <mergeCell ref="A2:E3"/>
    <mergeCell ref="B21:E21"/>
  </mergeCells>
  <conditionalFormatting sqref="B6:B16">
    <cfRule type="cellIs" dxfId="3" priority="2" operator="equal">
      <formula>"FLAG"</formula>
    </cfRule>
    <cfRule type="cellIs" dxfId="2" priority="3" operator="equal">
      <formula>"REVIEW"</formula>
    </cfRule>
    <cfRule type="cellIs" dxfId="1" priority="4" operator="equal">
      <formula>"OK"</formula>
    </cfRule>
  </conditionalFormatting>
  <conditionalFormatting sqref="B16">
    <cfRule type="cellIs" dxfId="0" priority="5" operator="equal">
      <formula>"MODEL OK"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00_ReadMe</vt:lpstr>
      <vt:lpstr>01_Constants</vt:lpstr>
      <vt:lpstr>02_Inputs_Base</vt:lpstr>
      <vt:lpstr>03_Scenarios</vt:lpstr>
      <vt:lpstr>04_HorizonMap</vt:lpstr>
      <vt:lpstr>10_FuelLanding</vt:lpstr>
      <vt:lpstr>11_Plants</vt:lpstr>
      <vt:lpstr>12_PlantSRMC</vt:lpstr>
      <vt:lpstr>13_MeritOrder_WESM</vt:lpstr>
      <vt:lpstr>14_ReservePricing</vt:lpstr>
      <vt:lpstr>15_GenMargin</vt:lpstr>
      <vt:lpstr>20_SupplyWholesale_Contracts</vt:lpstr>
      <vt:lpstr>21_SupplyWholesale_Margin</vt:lpstr>
      <vt:lpstr>22_MarginBridge</vt:lpstr>
      <vt:lpstr>30_Retail_Inputs</vt:lpstr>
      <vt:lpstr>31_Retail_EBIT</vt:lpstr>
      <vt:lpstr>40_Liquidity_Inputs</vt:lpstr>
      <vt:lpstr>41_Liquidity_Model</vt:lpstr>
      <vt:lpstr>50_Triggers_Playbook</vt:lpstr>
      <vt:lpstr>60_Outputs</vt:lpstr>
      <vt:lpstr>99_Checks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Wang, Dean</cp:lastModifiedBy>
  <cp:revision>0</cp:revision>
  <dcterms:created xsi:type="dcterms:W3CDTF">2026-03-08T03:23:18Z</dcterms:created>
  <dcterms:modified xsi:type="dcterms:W3CDTF">2026-04-02T10:39:02Z</dcterms:modified>
  <cp:category/>
  <cp:contentStatus/>
</cp:coreProperties>
</file>